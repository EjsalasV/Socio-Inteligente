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2. Pasivos por impuestos corrientes\"/>
    </mc:Choice>
  </mc:AlternateContent>
  <xr:revisionPtr revIDLastSave="0" documentId="13_ncr:1_{A275334B-FFAE-4654-9D32-E05FFEC84C70}" xr6:coauthVersionLast="47" xr6:coauthVersionMax="47" xr10:uidLastSave="{00000000-0000-0000-0000-000000000000}"/>
  <bookViews>
    <workbookView xWindow="-110" yWindow="-110" windowWidth="19420" windowHeight="10300" tabRatio="791" xr2:uid="{00000000-000D-0000-FFFF-FFFF00000000}"/>
  </bookViews>
  <sheets>
    <sheet name="324.02" sheetId="32" r:id="rId1"/>
    <sheet name="Base" sheetId="31" state="hidden" r:id="rId2"/>
    <sheet name="Hoja2" sheetId="34" state="hidden" r:id="rId3"/>
    <sheet name="Hoja1" sheetId="33" state="hidden" r:id="rId4"/>
  </sheets>
  <definedNames>
    <definedName name="_xlnm._FilterDatabase" localSheetId="1" hidden="1">Base!$A$1:$J$661</definedName>
    <definedName name="_xlnm._FilterDatabase" localSheetId="3" hidden="1">Hoja1!$A$1:$M$347</definedName>
  </definedNames>
  <calcPr calcId="191029"/>
  <pivotCaches>
    <pivotCache cacheId="40" r:id="rId5"/>
    <pivotCache cacheId="4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32" l="1"/>
  <c r="E57" i="32"/>
  <c r="F57" i="32" s="1"/>
  <c r="E56" i="32"/>
  <c r="F56" i="32" s="1"/>
  <c r="D45" i="32"/>
  <c r="D48" i="32" s="1"/>
  <c r="F58" i="32"/>
  <c r="F60" i="32" l="1"/>
  <c r="P40" i="32"/>
  <c r="P38" i="32"/>
  <c r="F347" i="33"/>
  <c r="F346" i="33"/>
  <c r="F345" i="33"/>
  <c r="F344" i="33"/>
  <c r="F343" i="33"/>
  <c r="F342" i="33"/>
  <c r="F341" i="33"/>
  <c r="F340" i="33"/>
  <c r="F339" i="33"/>
  <c r="F338" i="33"/>
  <c r="F337" i="33"/>
  <c r="F336" i="33"/>
  <c r="F335" i="33"/>
  <c r="F334" i="33"/>
  <c r="F333" i="33"/>
  <c r="F332" i="33"/>
  <c r="F331" i="33"/>
  <c r="F330" i="33"/>
  <c r="F329" i="33"/>
  <c r="F328" i="33"/>
  <c r="F327" i="33"/>
  <c r="F326" i="33"/>
  <c r="F325" i="33"/>
  <c r="F324" i="33"/>
  <c r="F323" i="33"/>
  <c r="F322" i="33"/>
  <c r="F321" i="33"/>
  <c r="F319" i="33"/>
  <c r="F318" i="33"/>
  <c r="F317" i="33"/>
  <c r="F316" i="33"/>
  <c r="F315" i="33"/>
  <c r="F314" i="33"/>
  <c r="F313" i="33"/>
  <c r="F312" i="33"/>
  <c r="F311" i="33"/>
  <c r="F310" i="33"/>
  <c r="F309" i="33"/>
  <c r="F308" i="33"/>
  <c r="F307" i="33"/>
  <c r="F306" i="33"/>
  <c r="F305" i="33"/>
  <c r="F304" i="33"/>
  <c r="F303" i="33"/>
  <c r="F302" i="33"/>
  <c r="F301" i="33"/>
  <c r="F300" i="33"/>
  <c r="F299" i="33"/>
  <c r="F298" i="33"/>
  <c r="F297" i="33"/>
  <c r="F296" i="33"/>
  <c r="F295" i="33"/>
  <c r="F294" i="33"/>
  <c r="F293" i="33"/>
  <c r="F292" i="33"/>
  <c r="F291" i="33"/>
  <c r="F290" i="33"/>
  <c r="F289" i="33"/>
  <c r="F288" i="33"/>
  <c r="F287" i="33"/>
  <c r="F286" i="33"/>
  <c r="F285" i="33"/>
  <c r="F284" i="33"/>
  <c r="F283" i="33"/>
  <c r="F282" i="33"/>
  <c r="F281" i="33"/>
  <c r="F280" i="33"/>
  <c r="F279" i="33"/>
  <c r="F278" i="33"/>
  <c r="F277" i="33"/>
  <c r="F276" i="33"/>
  <c r="F275" i="33"/>
  <c r="F274" i="33"/>
  <c r="F273" i="33"/>
  <c r="F272" i="33"/>
  <c r="F271" i="33"/>
  <c r="F270" i="33"/>
  <c r="F269" i="33"/>
  <c r="F268" i="33"/>
  <c r="F267" i="33"/>
  <c r="F266" i="33"/>
  <c r="F265" i="33"/>
  <c r="F264" i="33"/>
  <c r="F263" i="33"/>
  <c r="F262" i="33"/>
  <c r="F261" i="33"/>
  <c r="F260" i="33"/>
  <c r="F259" i="33"/>
  <c r="F258" i="33"/>
  <c r="F257" i="33"/>
  <c r="F256" i="33"/>
  <c r="F255" i="33"/>
  <c r="F254" i="33"/>
  <c r="F253" i="33"/>
  <c r="F252" i="33"/>
  <c r="F251" i="33"/>
  <c r="F250" i="33"/>
  <c r="F249" i="33"/>
  <c r="F248" i="33"/>
  <c r="F247" i="33"/>
  <c r="F246" i="33"/>
  <c r="F245" i="33"/>
  <c r="F244" i="33"/>
  <c r="F243" i="33"/>
  <c r="F242" i="33"/>
  <c r="F241" i="33"/>
  <c r="F240" i="33"/>
  <c r="F239" i="33"/>
  <c r="F238" i="33"/>
  <c r="F237" i="33"/>
  <c r="F236" i="33"/>
  <c r="F235" i="33"/>
  <c r="F234" i="33"/>
  <c r="F233" i="33"/>
  <c r="F232" i="33"/>
  <c r="F231" i="33"/>
  <c r="F230" i="33"/>
  <c r="F229" i="33"/>
  <c r="F228" i="33"/>
  <c r="F227" i="33"/>
  <c r="F226" i="33"/>
  <c r="F225" i="33"/>
  <c r="F224" i="33"/>
  <c r="F223" i="33"/>
  <c r="F222" i="33"/>
  <c r="F221" i="33"/>
  <c r="F220" i="33"/>
  <c r="F219" i="33"/>
  <c r="F218" i="33"/>
  <c r="F217" i="33"/>
  <c r="F216" i="33"/>
  <c r="F215" i="33"/>
  <c r="F214" i="33"/>
  <c r="F213" i="33"/>
  <c r="F212" i="33"/>
  <c r="F211" i="33"/>
  <c r="F210" i="33"/>
  <c r="F209" i="33"/>
  <c r="F208" i="33"/>
  <c r="F207" i="33"/>
  <c r="F206" i="33"/>
  <c r="F205" i="33"/>
  <c r="F204" i="33"/>
  <c r="F203" i="33"/>
  <c r="F202" i="33"/>
  <c r="F201" i="33"/>
  <c r="F200" i="33"/>
  <c r="F199" i="33"/>
  <c r="F198" i="33"/>
  <c r="F197" i="33"/>
  <c r="F196" i="33"/>
  <c r="F195" i="33"/>
  <c r="F194" i="33"/>
  <c r="F193" i="33"/>
  <c r="F192" i="33"/>
  <c r="F191" i="33"/>
  <c r="F190" i="33"/>
  <c r="F189" i="33"/>
  <c r="F188" i="33"/>
  <c r="F187" i="33"/>
  <c r="F186" i="33"/>
  <c r="F185" i="33"/>
  <c r="F184" i="33"/>
  <c r="F183" i="33"/>
  <c r="F182" i="33"/>
  <c r="F181" i="33"/>
  <c r="F180" i="33"/>
  <c r="F179" i="33"/>
  <c r="F178" i="33"/>
  <c r="F177" i="33"/>
  <c r="F176" i="33"/>
  <c r="F175" i="33"/>
  <c r="F174" i="33"/>
  <c r="F173" i="33"/>
  <c r="F172" i="33"/>
  <c r="F171" i="33"/>
  <c r="F170" i="33"/>
  <c r="F169" i="33"/>
  <c r="F168" i="33"/>
  <c r="F167" i="33"/>
  <c r="F166" i="33"/>
  <c r="F165" i="33"/>
  <c r="F164" i="33"/>
  <c r="F163" i="33"/>
  <c r="F162" i="33"/>
  <c r="F161" i="33"/>
  <c r="F160" i="33"/>
  <c r="F159" i="33"/>
  <c r="F158" i="33"/>
  <c r="F157" i="33"/>
  <c r="F156" i="33"/>
  <c r="F155" i="33"/>
  <c r="F154" i="33"/>
  <c r="F153" i="33"/>
  <c r="F152" i="33"/>
  <c r="F151" i="33"/>
  <c r="F150" i="33"/>
  <c r="F149" i="33"/>
  <c r="F148" i="33"/>
  <c r="F147" i="33"/>
  <c r="F146" i="33"/>
  <c r="F145" i="33"/>
  <c r="F144" i="33"/>
  <c r="F143" i="33"/>
  <c r="F142" i="33"/>
  <c r="F141" i="33"/>
  <c r="F140" i="33"/>
  <c r="F139" i="33"/>
  <c r="F138" i="33"/>
  <c r="F137" i="33"/>
  <c r="F136" i="33"/>
  <c r="F135" i="33"/>
  <c r="F134" i="33"/>
  <c r="F133" i="33"/>
  <c r="F132" i="33"/>
  <c r="F131" i="33"/>
  <c r="F130" i="33"/>
  <c r="F129" i="33"/>
  <c r="F128" i="33"/>
  <c r="F127" i="33"/>
  <c r="F126" i="33"/>
  <c r="F125" i="33"/>
  <c r="F124" i="33"/>
  <c r="F123" i="33"/>
  <c r="F122" i="33"/>
  <c r="F121" i="33"/>
  <c r="F120" i="33"/>
  <c r="F119" i="33"/>
  <c r="F118" i="33"/>
  <c r="F117" i="33"/>
  <c r="F116" i="33"/>
  <c r="F115" i="33"/>
  <c r="F114" i="33"/>
  <c r="F113" i="33"/>
  <c r="F112" i="33"/>
  <c r="F111" i="33"/>
  <c r="F110" i="33"/>
  <c r="F109" i="33"/>
  <c r="F108" i="33"/>
  <c r="F107" i="33"/>
  <c r="F106" i="33"/>
  <c r="F105" i="33"/>
  <c r="F104" i="33"/>
  <c r="F103" i="33"/>
  <c r="F102" i="33"/>
  <c r="F101" i="33"/>
  <c r="F100" i="33"/>
  <c r="F99" i="33"/>
  <c r="F98" i="33"/>
  <c r="F97" i="33"/>
  <c r="F96" i="33"/>
  <c r="F95" i="33"/>
  <c r="F94" i="33"/>
  <c r="F93" i="33"/>
  <c r="F92" i="33"/>
  <c r="F91" i="33"/>
  <c r="F90" i="33"/>
  <c r="F89" i="33"/>
  <c r="F88" i="33"/>
  <c r="F87" i="33"/>
  <c r="F86" i="33"/>
  <c r="F85" i="33"/>
  <c r="F84" i="33"/>
  <c r="F83" i="33"/>
  <c r="F82" i="33"/>
  <c r="F81" i="33"/>
  <c r="F80" i="33"/>
  <c r="F79" i="33"/>
  <c r="F78" i="33"/>
  <c r="F77" i="33"/>
  <c r="F76" i="33"/>
  <c r="F75" i="33"/>
  <c r="F74" i="33"/>
  <c r="F73" i="33"/>
  <c r="F72" i="33"/>
  <c r="F71" i="33"/>
  <c r="F70" i="33"/>
  <c r="F69" i="33"/>
  <c r="F68" i="33"/>
  <c r="F67" i="33"/>
  <c r="F66" i="33"/>
  <c r="F65" i="33"/>
  <c r="F64" i="33"/>
  <c r="F63" i="33"/>
  <c r="F62" i="33"/>
  <c r="F61" i="33"/>
  <c r="F60" i="33"/>
  <c r="F59" i="33"/>
  <c r="F58" i="33"/>
  <c r="F57" i="33"/>
  <c r="F56" i="33"/>
  <c r="F55" i="33"/>
  <c r="F54" i="33"/>
  <c r="F53" i="33"/>
  <c r="F52" i="33"/>
  <c r="F51" i="33"/>
  <c r="F50" i="33"/>
  <c r="F49" i="33"/>
  <c r="F48" i="33"/>
  <c r="F47" i="33"/>
  <c r="F46" i="33"/>
  <c r="F45" i="33"/>
  <c r="F44" i="33"/>
  <c r="F43" i="33"/>
  <c r="F42" i="33"/>
  <c r="F41" i="33"/>
  <c r="F40" i="33"/>
  <c r="F39" i="33"/>
  <c r="F38" i="33"/>
  <c r="F37" i="33"/>
  <c r="F36" i="33"/>
  <c r="F35" i="33"/>
  <c r="F34" i="33"/>
  <c r="F33" i="33"/>
  <c r="F32" i="33"/>
  <c r="F31" i="33"/>
  <c r="F30" i="33"/>
  <c r="F29" i="33"/>
  <c r="F28" i="33"/>
  <c r="F27" i="33"/>
  <c r="F26" i="33"/>
  <c r="F25" i="33"/>
  <c r="F24" i="33"/>
  <c r="F23" i="33"/>
  <c r="F22" i="33"/>
  <c r="F21" i="33"/>
  <c r="F20" i="33"/>
  <c r="F19" i="33"/>
  <c r="F18" i="33"/>
  <c r="F17" i="33"/>
  <c r="F16" i="33"/>
  <c r="F15" i="33"/>
  <c r="F14" i="33"/>
  <c r="F13" i="33"/>
  <c r="F12" i="33"/>
  <c r="F11" i="33"/>
  <c r="F10" i="33"/>
  <c r="F9" i="33"/>
  <c r="F8" i="33"/>
  <c r="F7" i="33"/>
  <c r="F6" i="33"/>
  <c r="F5" i="33"/>
  <c r="F4" i="33"/>
  <c r="F3" i="33"/>
  <c r="P47" i="32"/>
  <c r="O45" i="32"/>
  <c r="O48" i="32" s="1"/>
  <c r="D680" i="31"/>
  <c r="E685" i="31"/>
  <c r="F685" i="31" s="1"/>
  <c r="G685" i="31" s="1"/>
  <c r="H685" i="31" s="1"/>
  <c r="I685" i="31" s="1"/>
  <c r="J685" i="31" s="1"/>
  <c r="K685" i="31" s="1"/>
  <c r="L685" i="31" s="1"/>
  <c r="M685" i="31" s="1"/>
  <c r="D685" i="31"/>
  <c r="D684" i="31"/>
  <c r="E684" i="31" s="1"/>
  <c r="F684" i="31" s="1"/>
  <c r="G684" i="31" s="1"/>
  <c r="H684" i="31" s="1"/>
  <c r="I684" i="31" s="1"/>
  <c r="J684" i="31" s="1"/>
  <c r="K684" i="31" s="1"/>
  <c r="L684" i="31" s="1"/>
  <c r="M684" i="31" s="1"/>
  <c r="D683" i="31"/>
  <c r="E683" i="31" s="1"/>
  <c r="F683" i="31" s="1"/>
  <c r="G683" i="31" s="1"/>
  <c r="H683" i="31" s="1"/>
  <c r="I683" i="31" s="1"/>
  <c r="J683" i="31" s="1"/>
  <c r="K683" i="31" s="1"/>
  <c r="L683" i="31" s="1"/>
  <c r="M683" i="31" s="1"/>
  <c r="D682" i="31"/>
  <c r="E682" i="31" s="1"/>
  <c r="F682" i="31" s="1"/>
  <c r="G682" i="31" s="1"/>
  <c r="H682" i="31" s="1"/>
  <c r="I682" i="31" s="1"/>
  <c r="J682" i="31" s="1"/>
  <c r="K682" i="31" s="1"/>
  <c r="L682" i="31" s="1"/>
  <c r="M682" i="31" s="1"/>
  <c r="D681" i="31"/>
  <c r="E681" i="31" s="1"/>
  <c r="F681" i="31" s="1"/>
  <c r="G681" i="31" s="1"/>
  <c r="H681" i="31" s="1"/>
  <c r="I681" i="31" s="1"/>
  <c r="J681" i="31" s="1"/>
  <c r="K681" i="31" s="1"/>
  <c r="L681" i="31" s="1"/>
  <c r="M681" i="31" s="1"/>
  <c r="E680" i="31"/>
  <c r="E686" i="31" s="1"/>
  <c r="N45" i="32"/>
  <c r="N48" i="32" s="1"/>
  <c r="M45" i="32"/>
  <c r="M48" i="32" s="1"/>
  <c r="L45" i="32"/>
  <c r="L48" i="32" s="1"/>
  <c r="K45" i="32"/>
  <c r="K48" i="32" s="1"/>
  <c r="J45" i="32"/>
  <c r="J48" i="32" s="1"/>
  <c r="I45" i="32"/>
  <c r="I48" i="32" s="1"/>
  <c r="H45" i="32"/>
  <c r="H48" i="32" s="1"/>
  <c r="G45" i="32"/>
  <c r="G48" i="32" s="1"/>
  <c r="F45" i="32"/>
  <c r="F48" i="32" s="1"/>
  <c r="E45" i="32"/>
  <c r="E48" i="32" s="1"/>
  <c r="P44" i="32"/>
  <c r="P43" i="32"/>
  <c r="P42" i="32"/>
  <c r="P41" i="32"/>
  <c r="P39" i="32"/>
  <c r="J663" i="31"/>
  <c r="D607" i="31"/>
  <c r="D606" i="31"/>
  <c r="D605" i="31"/>
  <c r="D604" i="31"/>
  <c r="D603" i="31"/>
  <c r="D601" i="31"/>
  <c r="D600" i="31"/>
  <c r="D599" i="31"/>
  <c r="D598" i="31"/>
  <c r="D597" i="31"/>
  <c r="D596" i="31"/>
  <c r="D595" i="31"/>
  <c r="D594" i="31"/>
  <c r="D593" i="31"/>
  <c r="D591" i="31"/>
  <c r="D590" i="31"/>
  <c r="D589" i="31"/>
  <c r="D588" i="31"/>
  <c r="D587" i="31"/>
  <c r="D586" i="31"/>
  <c r="D585" i="31"/>
  <c r="D584" i="31"/>
  <c r="D583" i="31"/>
  <c r="D582" i="31"/>
  <c r="D581" i="31"/>
  <c r="D580" i="31"/>
  <c r="D579" i="31"/>
  <c r="D578" i="31"/>
  <c r="D577" i="31"/>
  <c r="D576" i="31"/>
  <c r="D575" i="31"/>
  <c r="D574" i="31"/>
  <c r="D573" i="31"/>
  <c r="D572" i="31"/>
  <c r="D571" i="31"/>
  <c r="D570" i="31"/>
  <c r="D569" i="31"/>
  <c r="D568" i="31"/>
  <c r="D567" i="31"/>
  <c r="D566" i="31"/>
  <c r="D565" i="31"/>
  <c r="D564" i="31"/>
  <c r="D563" i="31"/>
  <c r="D562" i="31"/>
  <c r="D561" i="31"/>
  <c r="D560" i="31"/>
  <c r="D559" i="31"/>
  <c r="D558" i="31"/>
  <c r="D557" i="31"/>
  <c r="D556" i="31"/>
  <c r="D555" i="31"/>
  <c r="D554" i="31"/>
  <c r="D553" i="31"/>
  <c r="D552" i="31"/>
  <c r="D551" i="31"/>
  <c r="D550" i="31"/>
  <c r="D549" i="31"/>
  <c r="D548" i="31"/>
  <c r="D547" i="31"/>
  <c r="D546" i="31"/>
  <c r="D545" i="31"/>
  <c r="D544" i="31"/>
  <c r="D543" i="31"/>
  <c r="D542" i="31"/>
  <c r="D541" i="31"/>
  <c r="D540" i="31"/>
  <c r="D539" i="31"/>
  <c r="D538" i="31"/>
  <c r="D537" i="31"/>
  <c r="D536" i="31"/>
  <c r="D535" i="31"/>
  <c r="D534" i="31"/>
  <c r="D533" i="31"/>
  <c r="D532" i="31"/>
  <c r="D531" i="31"/>
  <c r="D530" i="31"/>
  <c r="D529" i="31"/>
  <c r="D528" i="31"/>
  <c r="D527" i="31"/>
  <c r="D526" i="31"/>
  <c r="D525" i="31"/>
  <c r="D524" i="31"/>
  <c r="D523" i="31"/>
  <c r="D522" i="31"/>
  <c r="D521" i="31"/>
  <c r="D520" i="31"/>
  <c r="D519" i="31"/>
  <c r="D518" i="31"/>
  <c r="D517" i="31"/>
  <c r="D516" i="31"/>
  <c r="D515" i="31"/>
  <c r="D514" i="31"/>
  <c r="D513" i="31"/>
  <c r="D512" i="31"/>
  <c r="D511" i="31"/>
  <c r="D510" i="31"/>
  <c r="D509" i="31"/>
  <c r="D508" i="31"/>
  <c r="D507" i="31"/>
  <c r="D506" i="31"/>
  <c r="D505" i="31"/>
  <c r="D504" i="31"/>
  <c r="D503" i="31"/>
  <c r="D502" i="31"/>
  <c r="D501" i="31"/>
  <c r="D500" i="31"/>
  <c r="D499" i="31"/>
  <c r="D498" i="31"/>
  <c r="D497" i="31"/>
  <c r="D496" i="31"/>
  <c r="D495" i="31"/>
  <c r="D494" i="31"/>
  <c r="D493" i="31"/>
  <c r="D492" i="31"/>
  <c r="D491" i="31"/>
  <c r="D490" i="31"/>
  <c r="D489" i="31"/>
  <c r="D488" i="31"/>
  <c r="D487" i="31"/>
  <c r="D486" i="31"/>
  <c r="D485" i="31"/>
  <c r="D484" i="31"/>
  <c r="D483" i="31"/>
  <c r="D482" i="31"/>
  <c r="D481" i="31"/>
  <c r="D480" i="31"/>
  <c r="D479" i="31"/>
  <c r="D478" i="31"/>
  <c r="D477" i="31"/>
  <c r="D476" i="31"/>
  <c r="D475" i="31"/>
  <c r="D474" i="31"/>
  <c r="D473" i="31"/>
  <c r="D472" i="31"/>
  <c r="D471" i="31"/>
  <c r="D470" i="31"/>
  <c r="D469" i="31"/>
  <c r="D468" i="31"/>
  <c r="D467" i="31"/>
  <c r="D466" i="31"/>
  <c r="D465" i="31"/>
  <c r="D464" i="31"/>
  <c r="D463" i="31"/>
  <c r="D462" i="31"/>
  <c r="D461" i="31"/>
  <c r="D460" i="31"/>
  <c r="D459" i="31"/>
  <c r="D458" i="31"/>
  <c r="D457" i="31"/>
  <c r="D456" i="31"/>
  <c r="D455" i="31"/>
  <c r="D454" i="31"/>
  <c r="D453" i="31"/>
  <c r="D452" i="31"/>
  <c r="D451" i="31"/>
  <c r="D450" i="31"/>
  <c r="D449" i="31"/>
  <c r="D448" i="31"/>
  <c r="D447" i="31"/>
  <c r="D446" i="31"/>
  <c r="D445" i="31"/>
  <c r="D444" i="31"/>
  <c r="D443" i="31"/>
  <c r="D442" i="31"/>
  <c r="D441" i="31"/>
  <c r="D440" i="31"/>
  <c r="D439" i="31"/>
  <c r="D438" i="31"/>
  <c r="D437" i="31"/>
  <c r="D436" i="31"/>
  <c r="D435" i="31"/>
  <c r="D434" i="31"/>
  <c r="D433" i="31"/>
  <c r="D432" i="31"/>
  <c r="D431" i="31"/>
  <c r="D430" i="31"/>
  <c r="D429" i="31"/>
  <c r="D428" i="31"/>
  <c r="D427" i="31"/>
  <c r="D426" i="31"/>
  <c r="D425" i="31"/>
  <c r="D424" i="31"/>
  <c r="D423" i="31"/>
  <c r="D422" i="31"/>
  <c r="D421" i="31"/>
  <c r="D420" i="31"/>
  <c r="D419" i="31"/>
  <c r="D418" i="31"/>
  <c r="D417" i="31"/>
  <c r="D416" i="31"/>
  <c r="D415" i="31"/>
  <c r="D414" i="31"/>
  <c r="D413" i="31"/>
  <c r="D412" i="31"/>
  <c r="D411" i="31"/>
  <c r="D410" i="31"/>
  <c r="D409" i="31"/>
  <c r="D408" i="31"/>
  <c r="D407" i="31"/>
  <c r="D406" i="31"/>
  <c r="D405" i="31"/>
  <c r="D404" i="31"/>
  <c r="D403" i="31"/>
  <c r="D402" i="31"/>
  <c r="D401" i="31"/>
  <c r="D400" i="31"/>
  <c r="D399" i="31"/>
  <c r="D398" i="31"/>
  <c r="D397" i="31"/>
  <c r="D396" i="31"/>
  <c r="D395" i="31"/>
  <c r="D394" i="31"/>
  <c r="D393" i="31"/>
  <c r="D392" i="31"/>
  <c r="D391" i="31"/>
  <c r="D390" i="31"/>
  <c r="D389" i="31"/>
  <c r="D388" i="31"/>
  <c r="D387" i="31"/>
  <c r="D386" i="31"/>
  <c r="D385" i="31"/>
  <c r="D384" i="31"/>
  <c r="D383" i="31"/>
  <c r="D382" i="31"/>
  <c r="D381" i="31"/>
  <c r="D380" i="31"/>
  <c r="D379" i="31"/>
  <c r="D378" i="31"/>
  <c r="D377" i="31"/>
  <c r="D376" i="31"/>
  <c r="D375" i="31"/>
  <c r="D374" i="31"/>
  <c r="D373" i="31"/>
  <c r="D372" i="31"/>
  <c r="D371" i="3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291" i="31"/>
  <c r="D290" i="31"/>
  <c r="D282" i="31"/>
  <c r="D269" i="31"/>
  <c r="D262" i="31"/>
  <c r="D261" i="31"/>
  <c r="D260" i="31"/>
  <c r="D259" i="31"/>
  <c r="D258" i="31"/>
  <c r="D257" i="31"/>
  <c r="D256" i="31"/>
  <c r="D255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P45" i="32" l="1"/>
  <c r="P48" i="32" s="1"/>
  <c r="D686" i="31"/>
  <c r="F680" i="31"/>
  <c r="F686" i="31" s="1"/>
  <c r="G680" i="31" l="1"/>
  <c r="G686" i="31" s="1"/>
  <c r="H680" i="31" l="1"/>
  <c r="H686" i="31" s="1"/>
  <c r="I680" i="31" l="1"/>
  <c r="I686" i="31" s="1"/>
  <c r="J680" i="31" l="1"/>
  <c r="J686" i="31" s="1"/>
  <c r="K680" i="31" l="1"/>
  <c r="K686" i="31" s="1"/>
  <c r="L680" i="31" l="1"/>
  <c r="L686" i="31" s="1"/>
  <c r="M680" i="31" l="1"/>
  <c r="M686" i="31" s="1"/>
</calcChain>
</file>

<file path=xl/sharedStrings.xml><?xml version="1.0" encoding="utf-8"?>
<sst xmlns="http://schemas.openxmlformats.org/spreadsheetml/2006/main" count="4732" uniqueCount="837">
  <si>
    <t>Preparado por:</t>
  </si>
  <si>
    <t>Revisado por:</t>
  </si>
  <si>
    <t>Mes</t>
  </si>
  <si>
    <t>Total general</t>
  </si>
  <si>
    <t>{1}</t>
  </si>
  <si>
    <t>{2}</t>
  </si>
  <si>
    <t>{3}</t>
  </si>
  <si>
    <t>{4}</t>
  </si>
  <si>
    <t>{5}</t>
  </si>
  <si>
    <t>{6}</t>
  </si>
  <si>
    <t>{8}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</si>
  <si>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</si>
  <si>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</si>
  <si>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</si>
  <si>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</si>
  <si>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</si>
  <si>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</si>
  <si>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</si>
  <si>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</si>
  <si>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</si>
  <si>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</si>
  <si>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</si>
  <si>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</si>
  <si>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Diferencias</t>
  </si>
  <si>
    <t>{9}</t>
  </si>
  <si>
    <t>{10}</t>
  </si>
  <si>
    <t>{11}</t>
  </si>
  <si>
    <t>{12}</t>
  </si>
  <si>
    <t>Total</t>
  </si>
  <si>
    <t>{7}</t>
  </si>
  <si>
    <t>Cuenta</t>
  </si>
  <si>
    <t>Fecha</t>
  </si>
  <si>
    <t>2</t>
  </si>
  <si>
    <t>Movimiento</t>
  </si>
  <si>
    <t>Marcas de auditoría:</t>
  </si>
  <si>
    <t xml:space="preserve">Conciliación de Retenciones en la Fuente de Impuesto a la Renta declaradas vs. Libros </t>
  </si>
  <si>
    <t>Objetivo:</t>
  </si>
  <si>
    <t>Procedimientos:</t>
  </si>
  <si>
    <t>Código</t>
  </si>
  <si>
    <t>Trans_id</t>
  </si>
  <si>
    <t>Comentario</t>
  </si>
  <si>
    <t>Debe</t>
  </si>
  <si>
    <t>Haber</t>
  </si>
  <si>
    <t>Pasivos</t>
  </si>
  <si>
    <t>Retención Fuente 1%</t>
  </si>
  <si>
    <t>03/01/2022</t>
  </si>
  <si>
    <t>04/01/2022</t>
  </si>
  <si>
    <t>11/01/2022</t>
  </si>
  <si>
    <t>12/01/2022</t>
  </si>
  <si>
    <t>18/01/2022</t>
  </si>
  <si>
    <t>19/01/2022</t>
  </si>
  <si>
    <t>20/01/2022</t>
  </si>
  <si>
    <t>21/02/2022</t>
  </si>
  <si>
    <t>21/01/2022</t>
  </si>
  <si>
    <t>25/01/2022</t>
  </si>
  <si>
    <t>28/01/2022</t>
  </si>
  <si>
    <t>02/02/2022</t>
  </si>
  <si>
    <t>04/02/2022</t>
  </si>
  <si>
    <t>07/02/2022</t>
  </si>
  <si>
    <t>09/02/2022</t>
  </si>
  <si>
    <t>10/02/2022</t>
  </si>
  <si>
    <t>15/02/2022</t>
  </si>
  <si>
    <t>16/02/2022</t>
  </si>
  <si>
    <t>17/03/2022</t>
  </si>
  <si>
    <t>17/02/2022</t>
  </si>
  <si>
    <t>19/02/2022</t>
  </si>
  <si>
    <t>24/02/2022</t>
  </si>
  <si>
    <t>08/03/2022</t>
  </si>
  <si>
    <t>10/03/2022</t>
  </si>
  <si>
    <t>21/03/2022</t>
  </si>
  <si>
    <t>22/03/2022</t>
  </si>
  <si>
    <t>31/03/2022</t>
  </si>
  <si>
    <t>01/04/2022</t>
  </si>
  <si>
    <t>06/04/2022</t>
  </si>
  <si>
    <t>08/04/2022</t>
  </si>
  <si>
    <t>11/04/2022</t>
  </si>
  <si>
    <t>13/04/2022</t>
  </si>
  <si>
    <t>18/04/2022</t>
  </si>
  <si>
    <t>19/04/2022</t>
  </si>
  <si>
    <t>26/04/2022</t>
  </si>
  <si>
    <t>02/05/2022</t>
  </si>
  <si>
    <t>30/04/2022</t>
  </si>
  <si>
    <t>01/05/2022</t>
  </si>
  <si>
    <t>03/05/2022</t>
  </si>
  <si>
    <t>09/05/2022</t>
  </si>
  <si>
    <t>18/05/2022</t>
  </si>
  <si>
    <t>19/05/2022</t>
  </si>
  <si>
    <t>20/05/2022</t>
  </si>
  <si>
    <t>24/05/2022</t>
  </si>
  <si>
    <t>30/05/2022</t>
  </si>
  <si>
    <t>16/06/2022</t>
  </si>
  <si>
    <t>20/06/2022</t>
  </si>
  <si>
    <t>22/06/2022</t>
  </si>
  <si>
    <t>30/06/2022</t>
  </si>
  <si>
    <t>01/07/2022</t>
  </si>
  <si>
    <t>19/07/2022</t>
  </si>
  <si>
    <t>19/08/2022</t>
  </si>
  <si>
    <t>Retención Fuente 1.75%</t>
  </si>
  <si>
    <t>27/01/2022</t>
  </si>
  <si>
    <t>31/01/2022</t>
  </si>
  <si>
    <t>18/02/2022</t>
  </si>
  <si>
    <t>04/04/2022</t>
  </si>
  <si>
    <t>02/03/2022</t>
  </si>
  <si>
    <t>09/03/2022</t>
  </si>
  <si>
    <t>14/03/2022</t>
  </si>
  <si>
    <t>18/03/2022</t>
  </si>
  <si>
    <t>28/03/2022</t>
  </si>
  <si>
    <t>09/04/2022</t>
  </si>
  <si>
    <t>16/04/2022</t>
  </si>
  <si>
    <t>20/04/2022</t>
  </si>
  <si>
    <t>21/04/2022</t>
  </si>
  <si>
    <t>26/05/2022</t>
  </si>
  <si>
    <t>01/06/2022</t>
  </si>
  <si>
    <t>18/07/2022</t>
  </si>
  <si>
    <t>17/06/2022</t>
  </si>
  <si>
    <t>24/06/2022</t>
  </si>
  <si>
    <t>15/08/2022</t>
  </si>
  <si>
    <t>15/07/2022</t>
  </si>
  <si>
    <t>01/08/2022</t>
  </si>
  <si>
    <t>09/08/2022</t>
  </si>
  <si>
    <t>12/09/2022</t>
  </si>
  <si>
    <t>11/08/2022</t>
  </si>
  <si>
    <t>17/08/2022</t>
  </si>
  <si>
    <t>20/09/2022</t>
  </si>
  <si>
    <t>31/10/2022</t>
  </si>
  <si>
    <t>30/09/2022</t>
  </si>
  <si>
    <t>19/10/2022</t>
  </si>
  <si>
    <t>05/01/2022</t>
  </si>
  <si>
    <t>03/03/2022</t>
  </si>
  <si>
    <t>04/05/2022</t>
  </si>
  <si>
    <t>25/05/2022</t>
  </si>
  <si>
    <t>02/06/2022</t>
  </si>
  <si>
    <t>03/06/2022</t>
  </si>
  <si>
    <t>23/06/2022</t>
  </si>
  <si>
    <t>11/07/2022</t>
  </si>
  <si>
    <t>22/07/2022</t>
  </si>
  <si>
    <t>26/07/2022</t>
  </si>
  <si>
    <t>31/07/2022</t>
  </si>
  <si>
    <t>29/08/2022</t>
  </si>
  <si>
    <t>31/08/2022</t>
  </si>
  <si>
    <t>22/09/2022</t>
  </si>
  <si>
    <t>29/09/2022</t>
  </si>
  <si>
    <t>07/10/2022</t>
  </si>
  <si>
    <t>12/10/2022</t>
  </si>
  <si>
    <t>14/10/2022</t>
  </si>
  <si>
    <t>28/10/2022</t>
  </si>
  <si>
    <t>Retención Fuente 2.75%</t>
  </si>
  <si>
    <t>06/01/2022</t>
  </si>
  <si>
    <t>24/01/2022</t>
  </si>
  <si>
    <t>01/02/2022</t>
  </si>
  <si>
    <t>11/02/2022</t>
  </si>
  <si>
    <t>22/02/2022</t>
  </si>
  <si>
    <t>25/02/2022</t>
  </si>
  <si>
    <t>04/03/2022</t>
  </si>
  <si>
    <t>06/05/2022</t>
  </si>
  <si>
    <t>12/05/2022</t>
  </si>
  <si>
    <t>16/05/2022</t>
  </si>
  <si>
    <t>31/05/2022</t>
  </si>
  <si>
    <t>06/06/2022</t>
  </si>
  <si>
    <t>13/06/2022</t>
  </si>
  <si>
    <t>04/07/2022</t>
  </si>
  <si>
    <t>02/08/2022</t>
  </si>
  <si>
    <t>08/08/2022</t>
  </si>
  <si>
    <t>05/09/2022</t>
  </si>
  <si>
    <t>19/09/2022</t>
  </si>
  <si>
    <t>03/10/2022</t>
  </si>
  <si>
    <t>17/10/2022</t>
  </si>
  <si>
    <t>24/10/2022</t>
  </si>
  <si>
    <t>Retención Fuente 8%</t>
  </si>
  <si>
    <t>05/07/2022</t>
  </si>
  <si>
    <t>Retención en la fuente bajo relación de dependencia</t>
  </si>
  <si>
    <t>Suma de Movimiento</t>
  </si>
  <si>
    <t>Conclusión</t>
  </si>
  <si>
    <t>FC 3158 RECARGA Y MANT EXTINTOR 20,10LBS</t>
  </si>
  <si>
    <t>FACT. 734 HOSPEDAJE GALAPAGOS GUILLERMO RODAS Y PA</t>
  </si>
  <si>
    <t>03/02/2022</t>
  </si>
  <si>
    <t>FAC. 3417 TRANSPORTE DE HELICOPTERO DE CANADA A GU</t>
  </si>
  <si>
    <t>FAC. 000003421 TRANSPORTE DE HELICOPTERO DE CANADA</t>
  </si>
  <si>
    <t>ND PAGO RETEN FTE ENERO 2022 SRI FORMULARIO 103</t>
  </si>
  <si>
    <t>FC#758 HOSPEDAJE GUILLERMO RODAS DEL 25/02 AL 01/0</t>
  </si>
  <si>
    <t>ND PAGO RETENCION FUENTE FEBRERO 2022 SRI FORM 103</t>
  </si>
  <si>
    <t>24/03/2022</t>
  </si>
  <si>
    <t>FC#3444 TRANSPORTE DE HELICOPTERO DE CANADA A GUAY</t>
  </si>
  <si>
    <t>FC#5797 PRUEBAS SARS-PCR DIEGO SERRANO</t>
  </si>
  <si>
    <t>FC#4726 LA CASA DE MARITA, HOSPEDAJE DEL 24 AL 27</t>
  </si>
  <si>
    <t>FC#4727 LA CASA DE MARITA, HOSPEDAJE DEL 08 AL 11</t>
  </si>
  <si>
    <t>ND 26570501 PAGO RETENCIONES FUENTE MARZO 2022 SRI</t>
  </si>
  <si>
    <t>ND 25372192 PAGO RETENCIONES FUENTE ABRIL 2022 FOR</t>
  </si>
  <si>
    <t>FC#3942 RECARGA EXTINTOR 150 LBS, MANOMETRO Y MANG</t>
  </si>
  <si>
    <t>FC#737 CARGA DE NITROGENO EXTINTOR PLATAFORMA</t>
  </si>
  <si>
    <t>FC#39 CURSO INICIAL MERC PELIGROSAS-SEG AVIACION S</t>
  </si>
  <si>
    <t>FC 2540 AJUSTE Y CALIBRACION TORQUIMETRO K-D TOOLS</t>
  </si>
  <si>
    <t>ND PAGO RETENCIONES FUENTE JULIO 2022 SRI FORM 103</t>
  </si>
  <si>
    <t>01/09/2022</t>
  </si>
  <si>
    <t>FC#306 LIMP Y MTTO HC-CVK, HC-CXH, HC-CTD</t>
  </si>
  <si>
    <t>ND 29962985 PAGO RETEN FTE AGOSTO 2022 SRI FORM 10</t>
  </si>
  <si>
    <t>FC#307 LIMP Y MTTO HC-CVK, HC-CXH, HC-CTD</t>
  </si>
  <si>
    <t>ND 30480126 PAGO RETEN FUENTE SEP 2022 SRI FORM 10</t>
  </si>
  <si>
    <t>MES2</t>
  </si>
  <si>
    <t>02/01/2022</t>
  </si>
  <si>
    <t>FC.111984 PANAMERIC.LIFE SEG VIDA Y ASISTENCIA MED</t>
  </si>
  <si>
    <t>Factura de proveedores - Cancelación - PN179260268</t>
  </si>
  <si>
    <t>FC.110749 PANAMERIC.LIFE SEG VIDA Y ASISTENCIA MED</t>
  </si>
  <si>
    <t>FC.110750 PANAMERIC.LIFE SEG VIDA Y ASISTENCIA MED</t>
  </si>
  <si>
    <t>FC.110751 PANAMERIC.LIFE SEG VIDA Y ASISTENCIA MED</t>
  </si>
  <si>
    <t>FC.110752 PANAMERIC.LIFE SEG VIDA Y ASISTENCIA MED</t>
  </si>
  <si>
    <t>FC.110753 PANAMERIC.LIFE SEG VIDA Y ASISTENCIA MED</t>
  </si>
  <si>
    <t>FC.110754 PANAMERIC.LIFE SEG VIDA Y ASISTENCIA MED</t>
  </si>
  <si>
    <t>FAC. 5386 PRUEBAS SARS-PCR PAUL DEL CASTLLO DIEGO</t>
  </si>
  <si>
    <t>ND PAGO RETENCIONES FUENTE DIC 2021 FORM 103 SRI</t>
  </si>
  <si>
    <t>FAC. 551 MANT. Y DESP. HELICOPTERO DEL 25 AL 28 DE</t>
  </si>
  <si>
    <t>FAC.000000113 SERVICIOS REEMPLAZO PATRICIO VILLACR</t>
  </si>
  <si>
    <t>FC.111987 PANAMERIC.LIFE SEG VIDA Y ASISTENCIA MED</t>
  </si>
  <si>
    <t>FAC.8945 COMPRA LAPTO GATEWAY GWTN156 R5 S.1GWTN15</t>
  </si>
  <si>
    <t>FAC.121877 SEGURO PARA HELICOPTERO-CONTENEDOR-Y TO</t>
  </si>
  <si>
    <t>3</t>
  </si>
  <si>
    <t>FC#115504 PANAMERIC.LIFE SEG VIDA Y ASISTENCIA MED</t>
  </si>
  <si>
    <t>FC#115507 PANAMERIC.LIFE SEG VIDA Y ASISTENCIA MED</t>
  </si>
  <si>
    <t>5</t>
  </si>
  <si>
    <t>FC#23831 SEGURO VH-512821-END-1</t>
  </si>
  <si>
    <t>4</t>
  </si>
  <si>
    <t>FC#116227 PANAMERIC.LIFE SEG VIDA Y ASISTENCIA MED</t>
  </si>
  <si>
    <t>FC#116228 PANAMERIC.LIFE SEG VIDA Y ASISTENCIA MED</t>
  </si>
  <si>
    <t>FC#546004 SEGURO AEROINSA RC-510862-END-1</t>
  </si>
  <si>
    <t>FC#117789 PANAMERIC.LIFE SEG VIDA Y ASISTENCIA MED</t>
  </si>
  <si>
    <t>FC#117788 PANAMERIC.LIFE SEG VIDA Y ASISTENCIA MED</t>
  </si>
  <si>
    <t>FC#2046 AIRE ACONDICIONADO PARA OFICINA VIKEMAN</t>
  </si>
  <si>
    <t>6</t>
  </si>
  <si>
    <t>FC#119695 PANAMERIC.LIFE SEG VIDA Y ASISTENCIA MED</t>
  </si>
  <si>
    <t>FC#119694 PANAMERIC.LIFE SEG VIDA Y ASISTENCIA MED</t>
  </si>
  <si>
    <t>21/06/2022</t>
  </si>
  <si>
    <t>ND PAGO RETENCIONES FUENTE MAYO SRI FORM 103</t>
  </si>
  <si>
    <t>7</t>
  </si>
  <si>
    <t>FC#121767 PANAMERIC.LIFE SEG VIDA Y ASISTENCIA MED</t>
  </si>
  <si>
    <t>ND PAGO RETEN FTE JUNIO 2022 FORM 103 SRI</t>
  </si>
  <si>
    <t>ND PAGO RETEN FTE JUNIO 2022 FORM 103 SRI(Anulació</t>
  </si>
  <si>
    <t>29/07/2022</t>
  </si>
  <si>
    <t>FACT. 460836 COMPRAS VARIAS MANTENIMIENTO BANO VIP</t>
  </si>
  <si>
    <t>8</t>
  </si>
  <si>
    <t>FC#123262 PANAMERIC.LIFE SEG VIDA Y ASISTENCIA MED</t>
  </si>
  <si>
    <t>05/08/2022</t>
  </si>
  <si>
    <t>FC#123559 PANAMERIC.LIFE SEG VIDA Y ASISTENCIA MED</t>
  </si>
  <si>
    <t>9</t>
  </si>
  <si>
    <t>FC#125589 PANAMERIC.LIFE SEG VIDA Y ASISTENCIA MED</t>
  </si>
  <si>
    <t>FC#125590 PANAMERIC.LIFE SEG VIDA Y ASISTENCIA MED</t>
  </si>
  <si>
    <t>FC#127220 PANAMERIC.LIFE SEG VIDA Y ASISTENCIA MED</t>
  </si>
  <si>
    <t>FC#127223 PANAMERIC.LIFE SEG VIDA Y ASISTENCIA MED</t>
  </si>
  <si>
    <t>28/11/2022</t>
  </si>
  <si>
    <t>FC#623492 SEGURO POLIZA CASCO-PERD LICENCIAS CA-51</t>
  </si>
  <si>
    <t>FC#623493 SEGURO POLIZA CASCO-PERD LICENCIAS CA-51</t>
  </si>
  <si>
    <t>01/01/2022</t>
  </si>
  <si>
    <t>FAC,.4950 INCINERATOR-PASSENGER-ADMINISTRACION</t>
  </si>
  <si>
    <t>FAC. 4948 SERVICIOS COMPELEMTARIOS</t>
  </si>
  <si>
    <t>FC 268828 INTERNET DEDICADO 5MB- MADIR-AEROPUERTO-</t>
  </si>
  <si>
    <t>FC.8228 E.M.A. TARIFA CORPORATIVA VALORADO AL 31 D</t>
  </si>
  <si>
    <t>FAC.20671 ARRIENDO DE ESPACIO AEROPUESTO G. NOV-DI</t>
  </si>
  <si>
    <t>FACX. 964 AUDITORIA A LOS ESTADOS DINANCIEROS AL 3</t>
  </si>
  <si>
    <t>FAC. 20710 ARRIENDO DE ESPACIO AEROPUESTO G. MES D</t>
  </si>
  <si>
    <t>FAC. 20713 VARIABLE MENSUAL SOBRE VENTAS 10%</t>
  </si>
  <si>
    <t>FACT. 301966 RENOVACION FIRMA ELECTRONICA MEM SECU</t>
  </si>
  <si>
    <t>FAC.3342 HONORARIO NULIDAD DE SENTENCIA EDISON CAL</t>
  </si>
  <si>
    <t>FAC.16631 INGRESO ECUAPAS,ADM. VTO.SERVICIOS DE EM</t>
  </si>
  <si>
    <t>FAC. 4341 SERVICIOS POR ACTIVIDADES DE COMERCIO EX</t>
  </si>
  <si>
    <t>FAC. 000271778 INTERNET DEDICADO 5MB- MADIR-AEROPU</t>
  </si>
  <si>
    <t>FAC.985 AUDITORIA A LOS ESTADOS FINANCIEROS AL 31/</t>
  </si>
  <si>
    <t>FAC. 20737 ARRIENDO DE ESPACIO AEROPUESTO G. MES D</t>
  </si>
  <si>
    <t>07/03/2022</t>
  </si>
  <si>
    <t>FAC. 20890 VARIABLE MENSUAL SOBRE VENTAS 10%</t>
  </si>
  <si>
    <t>FAC. 4346 SERVICIOS POR ACTIVIDADES DE COMERCIO EX</t>
  </si>
  <si>
    <t>FC#20982 TARIFA ANUAL NACIONAL AERONAUTICA HC-VCK</t>
  </si>
  <si>
    <t>Factura de proveedores - Cancelación - PN099233675</t>
  </si>
  <si>
    <t>FACT. 13564 HOTEL ORO VERDE HOSPEDAJE DIEGO SERRAN</t>
  </si>
  <si>
    <t>FACT. 13564 HOTEL ORO VERDE HOSPEDAJE PAUL DEL CAS</t>
  </si>
  <si>
    <t>FACT. 16335 HOTEL ORO VERDE HOSPEDAJE GUILLERMO RO</t>
  </si>
  <si>
    <t>FC#16547 HOTEL ORO VERDE HOSPEDAJE DIEGO SERRANO 2</t>
  </si>
  <si>
    <t>FC#274770 INTERNET DEDICADO 5MB- MADIR-AEROPUERTO-</t>
  </si>
  <si>
    <t>FC#21106 ARRIENDO DE ESPACIO AEROPUERTO G. LC:15-C</t>
  </si>
  <si>
    <t>FC#1730 CARMIGNIANI PEREZ, SERVICIOS ADMINISTRATIV</t>
  </si>
  <si>
    <t>FC#3454 HON. PROF.  LOCALES ENE-2022 PROFORMA 2180</t>
  </si>
  <si>
    <t>FC#10085 HOSPEDAJE JAVIER QUISHPE DEL 07 AL 08 MAR</t>
  </si>
  <si>
    <t>FC#178 SERVICIO DESINFECCION, FUMIGACION Y CONTROL</t>
  </si>
  <si>
    <t>FC#21194 VARIABLE MENSUAL POR CONCESIÓN MERCANTIL</t>
  </si>
  <si>
    <t>FC#1023 AUDITORIA A LOS ESTADOS FINANCIEROS AL 31/</t>
  </si>
  <si>
    <t>FC#48 IMPLANTACION SISTEMA SEGURIDAD OPERACIONAL S</t>
  </si>
  <si>
    <t>12/03/2022</t>
  </si>
  <si>
    <t>FC#8 SERVICIOS PROFESIONALES</t>
  </si>
  <si>
    <t>FC#553 MTTO BELL 407, BELL 505 FEB-MAR/2022 - MTTO</t>
  </si>
  <si>
    <t>FC#17254 HOTEL ORO VERDE HOSPEDAJE DIEGO SERRANO 1</t>
  </si>
  <si>
    <t>FC#277640 INTERNET DEDICADO 5MB- MADIR-AEROPUERTO-</t>
  </si>
  <si>
    <t>FC#17765 HOTEL ORO VERDE HOSPEDAJE PAUL DEL CASTIL</t>
  </si>
  <si>
    <t>FC#17775 HOTEL ORO VERDE HOSPEDAJE GUILLERMO RODAS</t>
  </si>
  <si>
    <t>FC#5516 GH &amp; PARKING MARZO 2022 ECUACENTAIR</t>
  </si>
  <si>
    <t>FC#21369 ARRIENDO DE ESPACIO AEROPUERTO G. LC:15-C</t>
  </si>
  <si>
    <t>FC#3525 HON. PROF. LOCALES FEB-2022 PROFORMA 21906</t>
  </si>
  <si>
    <t>FC#5582 ATENCION VUEVLO 28/03/22 Y 08/04/2022  N24</t>
  </si>
  <si>
    <t>FC#18145 HOTEL ORO VERDE HOSPEDAJE GUILLERMO RODAS</t>
  </si>
  <si>
    <t>FC#18155 HOTEL ORO VERDE HOSPEDAJE PAUL DEL CASTIL</t>
  </si>
  <si>
    <t>FC#18144 HOTEL ORO VERDE HOSPEDAJE GUILLERMO RODAS</t>
  </si>
  <si>
    <t>FC#21565 VARIABLE MENSUAL POR CONCESIÓN MERCANTIL</t>
  </si>
  <si>
    <t>FC#5639 ATENCION VUEVLO 11 Y 12 DE ABRIL  N245FH E</t>
  </si>
  <si>
    <t>FC#5640 ATENCION VUELO 13 Y 15 DE ABRIL  N245FH EC</t>
  </si>
  <si>
    <t>FC#3569 HON. PROF. LOCALES MAR-2022 PROFORMA 22024</t>
  </si>
  <si>
    <t>FC#5229 GH &amp; PARKING DICIEMBRE 2021 ECUACENTAIR</t>
  </si>
  <si>
    <t>FC#5230 GH &amp; PARKING ENERO 2022 ECUACENTAIR</t>
  </si>
  <si>
    <t>FC#5304 GH &amp; PARKING FEBRERO 2022 N245FH ECUACENTA</t>
  </si>
  <si>
    <t>FC#5719 GH &amp; PARKING ABRIL 2022 ECUACENTAIR</t>
  </si>
  <si>
    <t>FC#5180 ATENCION VUELO 01/12/21 Y 03/02/2022  N245</t>
  </si>
  <si>
    <t>FC#5228 ATENCION VUEVLO 06/02/22 Y 14/02/2022  N24</t>
  </si>
  <si>
    <t>FC#5293 ATENCION VUEVLO 16/02/22 Y 25/02/2022  N24</t>
  </si>
  <si>
    <t>FC#5367 ATENCION VUELO 01/03/22 Y 02/03/2022  N245</t>
  </si>
  <si>
    <t>FC#5466 ATENCION VUEVLO 28/03/22 Y 08/04/2022  N24</t>
  </si>
  <si>
    <t>Factura de proveedores - Cancelación - PN179243166</t>
  </si>
  <si>
    <t>FC#450260 LAARCOM SERVICIO MONITOREO HANGAR GYE MA</t>
  </si>
  <si>
    <t>FC#280820 INTERNET DEDICADO 5MB- MADIR-AEROPUERTO-</t>
  </si>
  <si>
    <t>FC#9665 TRABAJOS MTTO CAMBIO STRAP EN EL CVK</t>
  </si>
  <si>
    <t>FC#21607 ARRIENDO DE ESPACIO AEROPUERTO G. LC:15-C</t>
  </si>
  <si>
    <t>FC#71598 TRASLADO BELL 505 HC-CVK AL HANGAR AEROMA</t>
  </si>
  <si>
    <t>FC#19347 HOTEL ORO VERDE HOSPEDAJE GUILLERMO RODAS</t>
  </si>
  <si>
    <t>FC#21815 VARIABLE MENSUAL POR CONCESIÓN MERCANTIL</t>
  </si>
  <si>
    <t>FC#19428 HOTEL ORO VERDE HOSPEDAJE GUILLERMO RODAS</t>
  </si>
  <si>
    <t>FC#19455 HOTEL ORO VERDE HOSPEDAJE GUILLERMO RODAS</t>
  </si>
  <si>
    <t>FC#19444 HOTEL ORO VERDE HOSPEDAJE DIEGO SERRANO 1</t>
  </si>
  <si>
    <t>FC#19560 HOTEL ORO VERDE HOSPEDAJE DIEGO SERRANO 2</t>
  </si>
  <si>
    <t>FC#301 ASIS Y MTTO HC-CVK. HC-CXH, HC-CTD, HC-CVX</t>
  </si>
  <si>
    <t>FC#19735 HOSPEDAJE 31 MAY/2022 DEL CASTILLO PAUL</t>
  </si>
  <si>
    <t>FC#19794 HOSPEDAJE 31 MAY/2022 RODAS GUILLERMO</t>
  </si>
  <si>
    <t>FC#19719 HOSPEDAJE 31 MAY/2022 SERRANO DIEGO</t>
  </si>
  <si>
    <t>FC#5882 GH &amp; PARKING MAYO 2022 ECUACENTAIR</t>
  </si>
  <si>
    <t>FC#5856 ATENCION VUEVLO 07/05/22 Y 31/05/2022  N24</t>
  </si>
  <si>
    <t>FC#5898 ATENCION VUELO 01/06/26 Y 02/06/2022  N245</t>
  </si>
  <si>
    <t>FC#284449 INTERNET DEDICADO 5MB- MADIR-AEROPUERTO-</t>
  </si>
  <si>
    <t>06/07/2022</t>
  </si>
  <si>
    <t>FC#21837 ARRIENDO DE ESPACIO AEROPUERTO G. LC:15-C</t>
  </si>
  <si>
    <t>07/06/2022</t>
  </si>
  <si>
    <t>FC#16 HOSPEDAJE 28/05/22 SR.MARCO FARFAN</t>
  </si>
  <si>
    <t>FC#22068 VARIABLE MENSUAL POR CONCESIÓN MERCANTIL</t>
  </si>
  <si>
    <t>FC#303 ASIS Y MTTO HC-CVK. HC-CXH, HC-CTD, HC-CVX</t>
  </si>
  <si>
    <t>FC#286625 INTERNET DEDICADO 5MB- MADIR-AEROPUERTO-</t>
  </si>
  <si>
    <t>FC#532 ATENCION VUELO 27/12/2021 N751SJ ECUACENTAI</t>
  </si>
  <si>
    <t>FC#4951 PARKING HANGAR HCCVK  10 Y 11 DICIEMBRE EC</t>
  </si>
  <si>
    <t>FC#4953 ATENCION VUEVLO 26/12/21  N245FH ECUACENTA</t>
  </si>
  <si>
    <t>FC#4955 ATENCION VUELO DEL 26/12/21 AL 27/12/21 N7</t>
  </si>
  <si>
    <t>FC#4978 ATENCION VUELO 02/01/22 AL 03/01/22 N751SJ</t>
  </si>
  <si>
    <t>FC#4993 ATENCION VUELO 05/01/2022 N751SJ ECUACENTA</t>
  </si>
  <si>
    <t>FC#532 ATENCION VUELO 15/11/21-10/12/21-02/01/22 H</t>
  </si>
  <si>
    <t>FC#53 ALCANCE FC#32 ATENCION VUELO 27/12/2021 N751</t>
  </si>
  <si>
    <t>FC#54 ATENCION VUELO 14/02/2022 - 16/02/2022 N245F</t>
  </si>
  <si>
    <t>FC#63 ATENCION VUELO 25/02/2022 N245FH ECUACENTAIR</t>
  </si>
  <si>
    <t>FC#5264 ATENCION VUELO 18/02/2022 - 20/02/2022 HCC</t>
  </si>
  <si>
    <t>FC#5265 ATENCION VUELO 20/02/2022 - 21/02/2022 HCC</t>
  </si>
  <si>
    <t>FC#5303 PARKING HANGAR FBO FEBRERO ECUACENTAIR</t>
  </si>
  <si>
    <t>FC#82 ATENCION VUELO 27/03/2022 - 28/03/2022 N245F</t>
  </si>
  <si>
    <t>FC#90 ATENCION VUELO 12/04/2022 - 13/04/2022 N245F</t>
  </si>
  <si>
    <t>FC#108 ATENCION VUELO 31/05/2022 - 01/06/2022 N245</t>
  </si>
  <si>
    <t>FC#5871 DESPACHO 18/08/22 Y 31/05/22 HCCVK</t>
  </si>
  <si>
    <t>FC#5987 ATENCION VUELO 12/06/2022 - 17/06/2022 N24</t>
  </si>
  <si>
    <t>FC#5871 DESPACHO 01/06/22 HCCVK</t>
  </si>
  <si>
    <t>FC#6188 GH &amp; PARKING JUNIO 2022 ECUACENTAIR</t>
  </si>
  <si>
    <t>04/08/2022</t>
  </si>
  <si>
    <t>FC#22085 ARRIENDO DE ESPACIO AEROPUERTO G. LC:15-C</t>
  </si>
  <si>
    <t>FC#803942 TRAMITE COURIER IMPORTACION FILTROS</t>
  </si>
  <si>
    <t>07/07/2022</t>
  </si>
  <si>
    <t>FC#20820 HOSPEDAJE 05 JUL 2022 SERRANO DIEGO</t>
  </si>
  <si>
    <t>09/07/2022</t>
  </si>
  <si>
    <t>FC#20908 HOSPEDAJE ORO VERDE DEL 04/07 AL 09/07 RO</t>
  </si>
  <si>
    <t>FC#22288 VARIABLE MENSUAL POR CONCESIÓN MERCANTIL</t>
  </si>
  <si>
    <t>21/07/2022</t>
  </si>
  <si>
    <t>FC#6286 GH &amp; PARKING FEBRERO 2022 N585T ECUACENTAI</t>
  </si>
  <si>
    <t>FC#6287 ATENCION VUELO 29 AGO - 01 SEP N245FH ECUA</t>
  </si>
  <si>
    <t>FC#6288 ATENCION VUELO 28 SEP - 08 OCT N245FH ECUA</t>
  </si>
  <si>
    <t>FC#6289 ATENCION VUELO 11/10/21 - 13/10/21 N245FH</t>
  </si>
  <si>
    <t>FC#6290 ATENCION VUELO 14/10/21 - 21/10/21 N245FH</t>
  </si>
  <si>
    <t>FC#6294 PARKING HANGAR FBO NOVIEMBRE HCCVK ECUACEN</t>
  </si>
  <si>
    <t>FC#6295 PARKING HANGAR HCCVK  01 AL 08 DICIEMBRE E</t>
  </si>
  <si>
    <t>FC#120 ATENCION VUELO 13/10/2021 - 14/10/2021 N245</t>
  </si>
  <si>
    <t>FC#121 ATENCION VUELO 21/10/2021  N245FH ECUACENTA</t>
  </si>
  <si>
    <t>FC#122 ATENCION VUELO 29/10/2021 N245FH ECUACENTAI</t>
  </si>
  <si>
    <t>FC#2165 CHEQUEO HELICOPTERO HC-CVK, PRUEBA ALTIMET</t>
  </si>
  <si>
    <t>Factura de proveedores - Cancelación - PN176801433</t>
  </si>
  <si>
    <t>30/07/2022</t>
  </si>
  <si>
    <t>FC#305 LIMP Y MTTO HC-CVK. HC-CXH, HC-CTD</t>
  </si>
  <si>
    <t>FC#289596 INTERNET DEDICADO 5MB- MADIR-AEROPUERTO-</t>
  </si>
  <si>
    <t>FC#6337 ATENCION VUELO 24/07/2022 - 29/07/2022 N24</t>
  </si>
  <si>
    <t>03/08/2022</t>
  </si>
  <si>
    <t>FC#22350 ARRIENDO DE ESPACIO AEROPUERTO G. LC:15-C</t>
  </si>
  <si>
    <t>FC#6389 ATENCION VUELO 03/08/2022 N245FH ECUACENTA</t>
  </si>
  <si>
    <t>FC#6383 ATENCION VUELO 02/08/2022 - 03/08/2022 N24</t>
  </si>
  <si>
    <t>FC#33 HOSPEDAJE DEL 21 AL 24 JUL/2022 SR.MARCO FAR</t>
  </si>
  <si>
    <t>FC#6426 ATENCION VUELO 03/08/2022 - 09/08/2022 N24</t>
  </si>
  <si>
    <t>18/08/2022</t>
  </si>
  <si>
    <t>FC#22583 VARIABLE MENSUAL POR CONCESIÓN MERCANTIL</t>
  </si>
  <si>
    <t>FC#22413 HOSPEDAJE ORO VERDE 17/08/2022 CARVAJAL S</t>
  </si>
  <si>
    <t>FC#22451 HOSPEDAJE 18 AGO 2022 SERRANO DIEGO</t>
  </si>
  <si>
    <t>FC#22492 HOSPEDAJE 18 AGO 2022 BENAVIDES XIMENA</t>
  </si>
  <si>
    <t>FC#292595 INTERNET DEDICADO 5MB- MADIR-AEROPUERTO-</t>
  </si>
  <si>
    <t>05/10/2022</t>
  </si>
  <si>
    <t>FC#22738 ARRIENDO DE ESPACIO AEROPUERTO G. LC:15-C</t>
  </si>
  <si>
    <t>06/09/2022</t>
  </si>
  <si>
    <t>FC#6587 ATENCION VUELO 28/08/2022 - 06/09/2022 N24</t>
  </si>
  <si>
    <t>07/09/2022</t>
  </si>
  <si>
    <t>FC#23216 HOSPEDAJE 05-06 SEP 2022 BENAVIDES XIMENA</t>
  </si>
  <si>
    <t>08/09/2022</t>
  </si>
  <si>
    <t>FC#23256 HOSPEDAJE 05-06-07 SEP 2022 SERRANO DIEGO</t>
  </si>
  <si>
    <t>FC#23260 HOSPEDAJE 06-07 SEP 2022 RODAS GUILLERMO</t>
  </si>
  <si>
    <t>FC#23270 HOSPEDAJE 06-07 SEP 2022 DEL CASTILLO PAU</t>
  </si>
  <si>
    <t>15/09/2022</t>
  </si>
  <si>
    <t>FC#3945 HON. PROF. LOCALES JUL-2022 PROFORMA 22469</t>
  </si>
  <si>
    <t>FC#704 ATENCION VUELO 08/09/2022 - 22/09/2022 N245</t>
  </si>
  <si>
    <t>FC#22864 VARIABLE MENSUAL POR CONCESIÓN MERCANTIL</t>
  </si>
  <si>
    <t>FC#295815 INTERNET DEDICADO 5MB- MADIR-AEROPUERTO-</t>
  </si>
  <si>
    <t>07/11/2022</t>
  </si>
  <si>
    <t>FC#22893 ARRIENDO DE ESPACIO AEROPUERTO G. LC:15-C</t>
  </si>
  <si>
    <t>21/11/2022</t>
  </si>
  <si>
    <t>20/10/2022</t>
  </si>
  <si>
    <t>FC#23103 VARIABLE MENSUAL POR CONCESIÓN MERCANTIL</t>
  </si>
  <si>
    <t>FACT. 2570 HOSPEDAJE LEONID COELLO QUITO ATENCION</t>
  </si>
  <si>
    <t>FC#127 SERVICIOS PROFESIONALES</t>
  </si>
  <si>
    <t>FC#598 ASESORIA AERONAUTICA (2.3 HORAS HC-CVK)</t>
  </si>
  <si>
    <t>13/09/2022</t>
  </si>
  <si>
    <t>FC#186755 DECLARACION JURAMENTADA CERTIFICACION DO</t>
  </si>
  <si>
    <t>FC#188704 DECLARACION JURAMENTADA BANCO CENTRAL</t>
  </si>
  <si>
    <t>Retención Fuente 0%</t>
  </si>
  <si>
    <t>FC. 449 MADIRT. REEMB SISTEMA DATA LIFE ENERO 2022</t>
  </si>
  <si>
    <t>FC 165946 NACTUR FEE TKTS NACIONAL LEONIDAS COELLO</t>
  </si>
  <si>
    <t>FC 165945 NACTUR REEB BOLETO AEREO NACIONAL LEONID</t>
  </si>
  <si>
    <t>N/C 147219 ASEG. CONDOR APLICA FACT.470559</t>
  </si>
  <si>
    <t>FACT. 29952 REEMBOLSO 1190 GALONES JET A-1 N751SJ</t>
  </si>
  <si>
    <t>FACT. 452 REEMB ASESORIA LEGAL PBP ENERO 2022</t>
  </si>
  <si>
    <t>FC.166004 REEM BOLET AEREOS SERRANO D</t>
  </si>
  <si>
    <t>FACT. 29953 REEMBOLSO 1190 GALONES JET A-1 N751SJ</t>
  </si>
  <si>
    <t>FAC.166092  NACTUR FEE TKTS NACIONAL LEONIDAS COEL</t>
  </si>
  <si>
    <t>FAC.166090 REEMBOLSO BOLETO COELLO LEONID</t>
  </si>
  <si>
    <t>REEMBOLSO MOVILIZACION DOMICILIO AEROPUERTO 5 Y 12</t>
  </si>
  <si>
    <t>FC 3297 REEM CONSUMO CELULAR DICIEMBRE 2021</t>
  </si>
  <si>
    <t>FC.455 MADIRT REEMB ARRIENDO SISTEMA SAP SIGLO DIC</t>
  </si>
  <si>
    <t>FACT. 29954 REEMBOLSO CONSUMO ENERGIA ELECTRICA HA</t>
  </si>
  <si>
    <t>Factura de proveedores - Cancelación - PN179127302</t>
  </si>
  <si>
    <t>FAC.16330 FLETE Y PICK UP MIAMI REPUESTO DE AVION</t>
  </si>
  <si>
    <t>FAC. 4342 REEMBOLSO DE GASTOS FRIOEXPORTACIO-FLETE</t>
  </si>
  <si>
    <t>FAC.166602 FEE TKTS NACIONAL CARVAJAL LUIS Y ALFAR</t>
  </si>
  <si>
    <t>Factura de proveedores - Cancelación - PN099003383</t>
  </si>
  <si>
    <t>FACT. 11691165 COMISIONES Y CARGOS BANCARIOS ENERO</t>
  </si>
  <si>
    <t>FACT. 461 REEMB ASESORIA LEGAL PBP FEBRERO 2022</t>
  </si>
  <si>
    <t>FC.466 MADIRT REEMB ARRIENDO SISTEMA SAP SIGLO FEB</t>
  </si>
  <si>
    <t>CAJA-053-2022 REPOSICION DE GASTOS DE CAJA CHICA</t>
  </si>
  <si>
    <t>FACT. 29955 REEMBOLSO 209 GALONES JET A-1 AERONAVE</t>
  </si>
  <si>
    <t>FC.3367 REEM CONSUMO CELULAR ENERO 2021</t>
  </si>
  <si>
    <t>FACT.60514 ESTACIONAMIENTO-ATERRISAJE-PROTECCION D</t>
  </si>
  <si>
    <t>FACT. 29956 REEMBOLSO 500 GALONES JET A-1 AERONAVE</t>
  </si>
  <si>
    <t>FC#96159 PETROECUADOR ADQUISICION 65 GALONES JET A</t>
  </si>
  <si>
    <t>FACT. 69595 TAGSA USO INSTALACIONES COMBUSTIBLE HC</t>
  </si>
  <si>
    <t>FC#60804 EMISION TARJETAS DE CIRCULACION</t>
  </si>
  <si>
    <t>REPOSICION GASTOS DE VIAJE SR. PAUL DEL CASTILLO</t>
  </si>
  <si>
    <t>Factura de proveedores - Cancelación - PN171296712</t>
  </si>
  <si>
    <t>FC#29957 REEMBOLSO CONSUMO ENERGIA ELECTRICA DEL 1</t>
  </si>
  <si>
    <t>FC#96370 PETROECUADOR ADQUISICION 36 GALONES JET A</t>
  </si>
  <si>
    <t>REPOSICION DE GASTOS DE VIAJE PARA OPERACIONES</t>
  </si>
  <si>
    <t>FC#73970 PETROECUADOR ADQUISICION 47 GALONES JET A</t>
  </si>
  <si>
    <t>LIQUIDACION DE GASTOS DE VIAJE SR. DIEGO SERRANO</t>
  </si>
  <si>
    <t>FC#73988 PETROECUADOR ADQUISICION 21 GALONES JET A</t>
  </si>
  <si>
    <t>FC#167448 REEM BOLETOS AEREOS SERRANO D., RODAS G.</t>
  </si>
  <si>
    <t>FC#167450 NACTUR FEE TKTS NACIONAL SERRANO DIEGO,</t>
  </si>
  <si>
    <t>FC#167474 REEM BOLETOS AEREOS RODAS GUILLERMO</t>
  </si>
  <si>
    <t>FC#167475 NACTUR FEE TKTS NACIONAL RODAS GUILLERMO</t>
  </si>
  <si>
    <t>FC#167434 REEM BOLETOS AEREOS SERRANO DIEGO</t>
  </si>
  <si>
    <t>FC#167514 REEM BOLETOS AEREOS SERRANO DIEGO</t>
  </si>
  <si>
    <t>FC#167515 NACTUR FEE TKTS NACIONAL SERRANO DIEGO</t>
  </si>
  <si>
    <t>28/02/2022</t>
  </si>
  <si>
    <t>26/02/2022</t>
  </si>
  <si>
    <t>FC#29960 REEMBOLSO 406 GALONES JET A-1 AERONAVE N2</t>
  </si>
  <si>
    <t>FC#29961 REEMBOLSO 300 GALONES JET A-1 AERONAVE N2</t>
  </si>
  <si>
    <t>REPOSICION GASTOS DE VIAJE DIEGO SERRANO</t>
  </si>
  <si>
    <t>REEMB GASTOS REPOSICION CAJA CH N° 054 XB</t>
  </si>
  <si>
    <t>REEMB GASTOS REPOSICION CAJA CH N° 054 PV</t>
  </si>
  <si>
    <t>FACT. 11743983 COMISIONES Y CARGOS BANCARIOS FEBRE</t>
  </si>
  <si>
    <t>FC#69914 TAGSA USO INSTALACIONES COMBUSTIBLE HC CV</t>
  </si>
  <si>
    <t>FC#29962 REEMBOLSO 622 GALONES JET A-1 AERONAVE N2</t>
  </si>
  <si>
    <t>FC#8770 SERV.SEGURIDAD NACIONAL Y TASA SALIDA PASA</t>
  </si>
  <si>
    <t>FC#167750 REEM BOLETOS AEREOS QUISHPE JAVIER</t>
  </si>
  <si>
    <t>FC#167751 FEE TKTS BOLETOS AEREOS QUISHPE JAVIER</t>
  </si>
  <si>
    <t>FC#3427 REEM CONSUMO CELULAR FEBRERO 202</t>
  </si>
  <si>
    <t>FC#168134 REEM BOLETOS AEREOS SERRANO DIEGO - COEL</t>
  </si>
  <si>
    <t>FC#168135 FEE TKTS BOLETOS AEREOS SERRANO DIEGO -</t>
  </si>
  <si>
    <t>LIQ#102  REPOSICION GASTOS LEONID COELLO</t>
  </si>
  <si>
    <t>FC#168626 REEM BOLETOS AEREOS CASTILLO PAUL - RODA</t>
  </si>
  <si>
    <t>FC#168627 FEE TKTS BOLETOS AEREOS CASTILLO PAUL -</t>
  </si>
  <si>
    <t>FC#168626 REEM BOLETOS AEREOS SERRANO DIEGO</t>
  </si>
  <si>
    <t>FC#168648 FEE TKTS BOLETOS AEREOS SERRANO DIEGO</t>
  </si>
  <si>
    <t>FC#168649 REEM BOLETOS AEREOS SERRANO DIEGO</t>
  </si>
  <si>
    <t>FC#552 REEM GTOS REALIZADOS EN HANGAR DE GUAYAQUIL</t>
  </si>
  <si>
    <t>FC#12090865 COMISIONES Y CARGOS BANCARIOS MARZO 20</t>
  </si>
  <si>
    <t>FC#480 MADIRT. REEMB SISTEMA DATA LIFE FEB-MAR 22</t>
  </si>
  <si>
    <t>FC#476 MADIRT REEMB ARRIENDO SISTEMA SAP SIGLO MAR</t>
  </si>
  <si>
    <t>FC#471 REEMB ASESORIA LABORAL PBP MARZO 2022</t>
  </si>
  <si>
    <t>Factura de proveedores - Cancelación - PN099000092</t>
  </si>
  <si>
    <t>REPOSICION GASTOS DE VIAJE DIEGO SERRANO 01/04/202</t>
  </si>
  <si>
    <t>REPOSICION GASTOS DE VIAJE SR. PAUL DEL CASTILLO 0</t>
  </si>
  <si>
    <t>FC#29963 REEMBOLSO 380 GALONES AERONAVE N254FH</t>
  </si>
  <si>
    <t>FC#487 MADIRT. REEMB SISTEMA DATA LIFE ABRIL 2022</t>
  </si>
  <si>
    <t>FC#493 MADIRT REEMB ARRIENDO SISTEMA SAP SIGLO ABR</t>
  </si>
  <si>
    <t>FC#29964 REEMBOLSO 522 GALONES JET A-1 AERONAVE N2</t>
  </si>
  <si>
    <t>13/05/2022</t>
  </si>
  <si>
    <t>FC#3484 REEM CONSUMO CELULAR MARZO 2022</t>
  </si>
  <si>
    <t>FC#29965 REEMBOLSO 500 GALONES JET A-1 AERONAVE N2</t>
  </si>
  <si>
    <t>FC#29966 REEMBOLSO 566 GALONES JET A-1 AERONAVE N2</t>
  </si>
  <si>
    <t>REPOSICION GASTOS DE VIAJE DIEGO SERRANO 18/04/202</t>
  </si>
  <si>
    <t>FC#29967 REEMBOLSO CONSUMO ENERGIA ELECTRICA DEL 1</t>
  </si>
  <si>
    <t>FC#206589 EMISION TARJETAS DE CIRCULACION D.SERRAN</t>
  </si>
  <si>
    <t>REEMB GASTOS REPOSICION CAJA CH N° 056 PV</t>
  </si>
  <si>
    <t>Factura de proveedores - Cancelación - PN090925363</t>
  </si>
  <si>
    <t>FC#12276044 COMISIONES Y CARGOS BANCARIOS ABRIL 20</t>
  </si>
  <si>
    <t>REEMBOLSO ELABORACION UNIFORMES INSPECCION DGAC</t>
  </si>
  <si>
    <t>FC#501 MADIRT. REEMB SISTEMA DATA LIFE MAYO 2022</t>
  </si>
  <si>
    <t>REEMB GASTOS REPOSICION CAJA CH N° 056 JQ</t>
  </si>
  <si>
    <t>REEMB GASTOS REPOSICION CAJA CH N° 056 XB</t>
  </si>
  <si>
    <t>FC#509 MADIRT REEMB ARRIENDO SISTEMA SAP SIGLO MAY</t>
  </si>
  <si>
    <t>09/06/2022</t>
  </si>
  <si>
    <t>FC#513 REEMB ASESORIA LABORAL PBP ABRIL 2022</t>
  </si>
  <si>
    <t>FC#510 REEMB ASESORIA LABORAL PBP MAYO 2022</t>
  </si>
  <si>
    <t>FC#3539 REEM CONSUMO CELULAR ABRIL 2022</t>
  </si>
  <si>
    <t>FC#102780 PETROECUADOR ADQUISICION 51 GALONES JET</t>
  </si>
  <si>
    <t>FC#102781 PETROECUADOR ADQUISICION 42 GALONES JET</t>
  </si>
  <si>
    <t>FC#102858 PETROECUADOR ADQUISICION 34 GALONES JET</t>
  </si>
  <si>
    <t>FC#71754 TAGSA USO INSTALACIONES COMBUSTIBLE HC CV</t>
  </si>
  <si>
    <t>FC#170551 REEM BOLETOS AEREOS SERRANO DIEGO</t>
  </si>
  <si>
    <t>FC#170552 FEE TKTS BOLETOS AEREOS SERRANO DIEGO</t>
  </si>
  <si>
    <t>FC#170659 REEM BOLETOS AEREOS SERRANO DIEGO</t>
  </si>
  <si>
    <t>FC#29968 REEMBOLSO CONSUMO ENERGIA ELECTRICA DEL 1</t>
  </si>
  <si>
    <t>FC#29969 REEMBOLSO 728 Y 380 GALONES JET A-1 AERON</t>
  </si>
  <si>
    <t>FC#170718 REEM BOLETOS AEREOS FARFAN MARCO</t>
  </si>
  <si>
    <t>FC#170720 REEM BOLETOS AEREOS FARFAN MARCO</t>
  </si>
  <si>
    <t>FC#170804 REEM BOLETOS AEREOS SERRANO DIEGO</t>
  </si>
  <si>
    <t>FC#170805 FEE TKTS BOLETOS AEREOS SERRANO DIEGO</t>
  </si>
  <si>
    <t>FC#170801 REEM BOLETOS AEREOS QUISHPE JAVIER</t>
  </si>
  <si>
    <t>FC#170803 FEE TKTS BOLETOS AEREOS QUISHPE JAVIER</t>
  </si>
  <si>
    <t>FC#170790 REEM BOLETOS AEREOS SERRANO DIEGO</t>
  </si>
  <si>
    <t>FC#170791 FEE TKTS BOLETOS AEREOS SERRANO DIEGO</t>
  </si>
  <si>
    <t>FC#103783 PETROECUADOR ADQUISICION 41 GALONES JET</t>
  </si>
  <si>
    <t>13/07/2022</t>
  </si>
  <si>
    <t>FC#3593 REEM CONSUMO CELULAR MAYO 2022</t>
  </si>
  <si>
    <t>FC#72487TAGSA USO INSTALACIONES COMBUSTIBLE HC CVK</t>
  </si>
  <si>
    <t>FC#103783 PETROECUADOR ADQUISICION 25 GALONES JET</t>
  </si>
  <si>
    <t>FC#105353 PETROECUADOR ADQUISICION 74 GALONES JET</t>
  </si>
  <si>
    <t>FC#523 MADIRT. REEMB SISTEMA DATA LIFE JUNIO 2022</t>
  </si>
  <si>
    <t>FC#527 MADIRT REEMB ARRIENDO SISTEMA SAP SIGLO JUN</t>
  </si>
  <si>
    <t>FC#12656134 COMISIONES Y CARGOS BANCARIOS JUNIO 20</t>
  </si>
  <si>
    <t>FC#9331 SERV.SEGURIDAD NACIONAL Y TASA SALIDA PASA</t>
  </si>
  <si>
    <t>REEMB GASTOS REPOSICION CAJA CH N° 055 PV</t>
  </si>
  <si>
    <t>REEMB GASTOS REPOSICION CAJA CH N° 055 XB</t>
  </si>
  <si>
    <t>REEMB GASTOS REPOSICION CAJA CH N° 055 LC</t>
  </si>
  <si>
    <t>REEMB GASTOS REPOSICION CAJA CH N° 057 JQ</t>
  </si>
  <si>
    <t>REEMB GASTOS REPOSICION CAJA CH N° 057 XB</t>
  </si>
  <si>
    <t>REEMB GASTOS REPOSICION CAJA CH N° 058 DS</t>
  </si>
  <si>
    <t>REEMB GASTOS REPOSICION CAJA CH N° 058 XB</t>
  </si>
  <si>
    <t>REEMB GASTOS REPOSICION CAJA CH N° 058 JQ</t>
  </si>
  <si>
    <t>REG REPOSICION DE GASTOS AL 03/06/2022 JQ</t>
  </si>
  <si>
    <t>REPOSICION GASTOS DE VIAJE DIEGO SERRANO 06/06/202</t>
  </si>
  <si>
    <t>REPOSICION GASTOS DE VIAJE DIEGO SERRANO 27/05/202</t>
  </si>
  <si>
    <t>FC#302 REPOS GTOS 28-29 MAY/2022 M.FARFAN</t>
  </si>
  <si>
    <t>REPOSICION GASTOS DE VIAJE DIEGO SERRANO 07/04/202</t>
  </si>
  <si>
    <t>FC#64741 MODIFICACION CONCESION PERMISO DE OPERACI</t>
  </si>
  <si>
    <t>FC#72758 TAGSA USO INSTALACIONES COMBUSTIBLE HC CV</t>
  </si>
  <si>
    <t>FC#9490 SERV.SEGURIDAD NACIONAL Y TASA SALIDA PASA</t>
  </si>
  <si>
    <t>FC#29970 REEMBOLSO 460 GALONES JET A-1 AERONAVE N2</t>
  </si>
  <si>
    <t>FC#29971 REEMBOLSO 565 GALONES JET A-1 AERONAVE N2</t>
  </si>
  <si>
    <t>FC#29972 REEMBOLSO 716 GALONES JET A-1 AERONAVE N2</t>
  </si>
  <si>
    <t>FC#29973 REEMBOLSO CONSUMO ENERGIA ELECTRICA DEL 1</t>
  </si>
  <si>
    <t>FC#65176 EXAMEN MEDICO CLASE 1 GUILLERMO RODAS</t>
  </si>
  <si>
    <t>FC#171987 REEM BOLETOS AEREOS SERRANO DIEGO-RODAS</t>
  </si>
  <si>
    <t>FC#171988 FEE TKTS BOLETOS AEREOS SERRANO DIEGO-RO</t>
  </si>
  <si>
    <t>FC#172002 REEM BOLETOS AEREOS SERRANO DIEGO</t>
  </si>
  <si>
    <t>FC#172123 REEM BOLETOS AEREOS BENAVIDES XIMENA</t>
  </si>
  <si>
    <t>FC#172124 FEE TKTS BOLETOS AEREOS BENAVIDES XIMENA</t>
  </si>
  <si>
    <t>Factura de proveedores - Cancelación - PN140024066</t>
  </si>
  <si>
    <t>FC#3649 REEM CONSUMO CELULAR JUNIO 2022</t>
  </si>
  <si>
    <t>REPOSICION GASTOS DE VIAJE DIEGO SERRANO 15/07/202</t>
  </si>
  <si>
    <t>FC#29974 REEMBOLSO CONSUMO ENERGIA ELECTRICA DEL 1</t>
  </si>
  <si>
    <t>REEMB GASTOS REPOSICION CAJA CH N° 059 PV</t>
  </si>
  <si>
    <t>FC#172557 REEM BOLETOS AEREOS CASTILLO PAUL - RODA</t>
  </si>
  <si>
    <t>FC#172558 FEE TKTS BOLETOS AEREOS CASTILLO PAUL -</t>
  </si>
  <si>
    <t>FC#172590 REEM BOLETOS AEREOS SERRANO DIEGO-FARFAN</t>
  </si>
  <si>
    <t>FC#172591 FEE TKTS BOLETOS AEREOS SERRANO DIEGO-FA</t>
  </si>
  <si>
    <t>FC#172592 REEM BOLETOS AEREOS QUISHPE JAVIER</t>
  </si>
  <si>
    <t>FC#172593 FEE TKTS BOLETOS AEREOS QUISHPE JAVIER</t>
  </si>
  <si>
    <t>FC#172594 REEM BOLETOS AEREOS QUISHPE JAVIER-SERRA</t>
  </si>
  <si>
    <t>26/08/2022</t>
  </si>
  <si>
    <t>FC#537 MADIRT. REEMB SISTEMA DATA LIFE JULIO 2022</t>
  </si>
  <si>
    <t>FC#533 MADIRT REEMB ARRIENDO SISTEMA SAP SIGLO JUL</t>
  </si>
  <si>
    <t>28/07/2022</t>
  </si>
  <si>
    <t>FC#172743 REEM BOLETOS AEREOS QUISHPE JAVIER</t>
  </si>
  <si>
    <t>REPOS GASTOS DE VIAJE DIEGO SERRANO 21/07/2022</t>
  </si>
  <si>
    <t>FC#29975 REEMBOLSO 698 GALONES JET A-1 AERONAVE N2</t>
  </si>
  <si>
    <t>FC#12849338 COMISIONES Y CARGOS BANCARIOS JULIO 20</t>
  </si>
  <si>
    <t>FC#304 REPOS GTOS 21 AL 24 JUL/2022 M.FARFAN</t>
  </si>
  <si>
    <t>FC#4853 MANO DE OBRA ELECTRICIDAD HANGAR Y OFI VIK</t>
  </si>
  <si>
    <t>FC#770 MANO DE OBRA SALA VIP AEROINSA</t>
  </si>
  <si>
    <t>FC#1727 MANO DE OBRA SALA VIP AEROINSA</t>
  </si>
  <si>
    <t>REG GASTOS MATERIALES ARREGLO HANGAR Y SALA VIP</t>
  </si>
  <si>
    <t>FC#788 MANO DE OBRA PUERTA HANGAR CAMBIO DE BISAGR</t>
  </si>
  <si>
    <t>FC#4854 MANO DE OBRA PUNTOS ELECTRICOS 110V</t>
  </si>
  <si>
    <t>FC#29977 REEMB USO INSTALACIONE COMBUSTIBLE N254GH</t>
  </si>
  <si>
    <t>FC#29978 REEMB USO INSTALACIONE COMBUSTIBLE N254GH</t>
  </si>
  <si>
    <t>REEMB GASTOS REPOSICION CAJA CH N° 059 XB</t>
  </si>
  <si>
    <t>REEMB GASTOS REPOSICION CAJA CH N° 059 JQ</t>
  </si>
  <si>
    <t>REG GASTO MATERIALES ARREGLO HANGAR Y SALA VIP</t>
  </si>
  <si>
    <t>FC#749910 MATERIALES ARREGLO SALA VIP</t>
  </si>
  <si>
    <t>FC#29981 REEMBOLSO 350 GALONES JET A-1 AERONAVE N2</t>
  </si>
  <si>
    <t>FC#172995 REEM BOLETOS AEREOS QUISHPE JAVIER</t>
  </si>
  <si>
    <t>FC#172996 FEE TKTS BOLETOS AEREOS QUISHPE JAVIER</t>
  </si>
  <si>
    <t>REPOSICION GASTOS AL 25/07/2022 JQ</t>
  </si>
  <si>
    <t>FC#458 MANO DE OBRA REMODELACION BAÑO Y SALA VIP (</t>
  </si>
  <si>
    <t>10/08/2022</t>
  </si>
  <si>
    <t>FC#29983 REEMBOLSO 622 GALONES JET A-1 AERONAVE N2</t>
  </si>
  <si>
    <t>FC#29982 REEMBOLSO 583 GALONES JET A-1 AERONAVE N2</t>
  </si>
  <si>
    <t>16/08/2022</t>
  </si>
  <si>
    <t>FC#173278 FEE TKTS BOLETOS AEREOS QUISHPE JAVIER</t>
  </si>
  <si>
    <t>FC#29979 REEMB USO INSTALACIONE COMBUSTIBLE N254GH</t>
  </si>
  <si>
    <t>FC#173406 REEM BOLETOS AEREOS SERRANO DIEGO</t>
  </si>
  <si>
    <t>FC#173409 FEE TKTS BOLETOS AEREOS SERRANO DIEGO</t>
  </si>
  <si>
    <t>FC#173410 REEM BOLETOS AEREOS BENAVIDES XIMENA</t>
  </si>
  <si>
    <t>FC#173411 FEE TKTS BOLETOS AEREOS BENAVIDES XIMENA</t>
  </si>
  <si>
    <t>FC#29980 REEMBOLSO CONSUMO ENERGIA ELECTRICA DEL 1</t>
  </si>
  <si>
    <t>22/08/2022</t>
  </si>
  <si>
    <t>20/08/2022</t>
  </si>
  <si>
    <t>REEMB GASTOS VIAJE CARVAJAL SANTIAGO</t>
  </si>
  <si>
    <t>REPOS GASTOS VIAJE BENAVIDES XIMENA 18-19/08/2022</t>
  </si>
  <si>
    <t>FC#550 MADIRT. REEMB SISTEMA DATA LIFE AGOSTO 2022</t>
  </si>
  <si>
    <t>FC#546 MADIRT REEMB ARRIENDO SISTEMA SAP SIGLO AGO</t>
  </si>
  <si>
    <t>FC#13015810 COMISIONES Y CARGOS BANCARIOS AGOSTO 2</t>
  </si>
  <si>
    <t>04/09/2022</t>
  </si>
  <si>
    <t>REEMB GASTOS REPOSICION CAJA CH N° 060 XB</t>
  </si>
  <si>
    <t>REEMB GASTOS REPOSICION CAJA CH N° 060 PV</t>
  </si>
  <si>
    <t>REEMB GASTOS REPOSICION CAJA CH N° 060 JQ</t>
  </si>
  <si>
    <t>FC#29985 REEMBOLSO 360 GALONES JET A-1 AERONAVE N2</t>
  </si>
  <si>
    <t>REPOSICION GASTOS AL 16/08/2022 QUISHPE JAVIER</t>
  </si>
  <si>
    <t>Factura de proveedores - Cancelación - PN171149825</t>
  </si>
  <si>
    <t>FC#111256 PETROECUADOR ADQUISICION 58 GALONES JET</t>
  </si>
  <si>
    <t>FC#3763 REEM CONSUMO CELULAR AGOSTO 2022</t>
  </si>
  <si>
    <t>REPOS GASTOS VIAJE BENAVIDES XIMENA 05-06-07/09/20</t>
  </si>
  <si>
    <t>FC#174426 REEM BOLETOS AEREOS BENAVIDES XIMENA-SER</t>
  </si>
  <si>
    <t>FC#174427 FEE TKTS BOLETOS AEREOS BENAVIDES XIMENA</t>
  </si>
  <si>
    <t>FC#174554 REEM BOLETOS AEREOS SERRANO DIEGO</t>
  </si>
  <si>
    <t>FC#174556 FEE TKTS BOLETOS AEREOS SERRANO DIEGO</t>
  </si>
  <si>
    <t>16/09/2022</t>
  </si>
  <si>
    <t>FC#174598 REEM BOLETOS AEREOS QUISHPE JAVIER</t>
  </si>
  <si>
    <t>FC#174599 REEM BOLETOS AEREOS QUISHPE JAVIER</t>
  </si>
  <si>
    <t>FC#174601 FEE TKTS BOLETOS AEREOS QUISHPE JAVIER</t>
  </si>
  <si>
    <t>17/09/2022</t>
  </si>
  <si>
    <t>FC#111895 PETROECUADOR ADQUISICION 72 GALONES JET</t>
  </si>
  <si>
    <t>FC#74606 TAGSA USO INSTALACIONES COMBUSTIBLE HC CV</t>
  </si>
  <si>
    <t>FC#29987 REEMBOLSO CONSUMO ENERGIA ELECTRICA DEL 1</t>
  </si>
  <si>
    <t>FC#29984 REEMBOLSO 127 GALONES JET A-1 AERONAVE N2</t>
  </si>
  <si>
    <t>23/09/2022</t>
  </si>
  <si>
    <t>FC#29986 REEMBOLSO 200 GALONES JET A-1 AERONAVE N2</t>
  </si>
  <si>
    <t>FC#13210636 COMISIONES Y CARGOS BANCARIOS SEPTIEMB</t>
  </si>
  <si>
    <t>01/10/2022</t>
  </si>
  <si>
    <t>FC#85370 PETROECUADOR ADQUISICION 59 GALONES JET A</t>
  </si>
  <si>
    <t>FC 152 LIBERACION AERONAVE Y PREVUELO BELL 505</t>
  </si>
  <si>
    <t>04/11/2022</t>
  </si>
  <si>
    <t>04/10/2022</t>
  </si>
  <si>
    <t>REPOS GASTOS ATENCION BELL TEXTRON Y CLIENTES VARI</t>
  </si>
  <si>
    <t>FC#175410 FEE BOLETOS AEREOS GUILLERMO RODAS</t>
  </si>
  <si>
    <t>FC#175409 REEM BOLETOS AEREOS GUILLERMO RODAS</t>
  </si>
  <si>
    <t>FC#175375 REEM BOLETOS AEREOS GUILLERMO RODAS</t>
  </si>
  <si>
    <t>06/10/2022</t>
  </si>
  <si>
    <t>FC#175457 REEM BOLETOS AEREOS QUISHPE JAVIER</t>
  </si>
  <si>
    <t>FC#175462 FEE BOLETOS AEREOS QUISHPE JAVIER</t>
  </si>
  <si>
    <t>FC#172307 DECLARACION JURAMENTADA</t>
  </si>
  <si>
    <t>FC#172863 DECLARACION JURAMENTADA</t>
  </si>
  <si>
    <t>FC#555 REEM MOVILIZACION DEL 07 AL 08 MARZO/2022</t>
  </si>
  <si>
    <t>13/10/2022</t>
  </si>
  <si>
    <t>FC#175669 REEM BOLETOS AEREOS RODAS GUILLERMO</t>
  </si>
  <si>
    <t>FC#19 GASERV REEMB SISTEMA DATA LIFE SPETIEMBRE 20</t>
  </si>
  <si>
    <t>FC#15 GASERV REEMB SISTEMA DATA LIFE OCTUBRE 2022</t>
  </si>
  <si>
    <t>FC#8 GASERV REEMB ARRIENDO SISTEMA SAP SIGLO SEPTI</t>
  </si>
  <si>
    <t>FC#11 GASERV REEMB ARRIENDO SISTEMA SAP SIGLO OCTU</t>
  </si>
  <si>
    <t>FC#175757 REEM BOLETOS AEREOS QUISHPE JAVIER</t>
  </si>
  <si>
    <t>17/11/2022</t>
  </si>
  <si>
    <t>FC#3829 REEM CONSUMO CELULAR SEPTIEMBRE 2022</t>
  </si>
  <si>
    <t>REPOSICION GASTOS DEL 29/SEP AL 05/OCT QUISHPE JAV</t>
  </si>
  <si>
    <t>26/10/2022</t>
  </si>
  <si>
    <t>REEMB GASTOS REPOSICION CAJA CH N° 062 XB</t>
  </si>
  <si>
    <t>REEMB GASTOS REPOSICION CAJA CH N° 062 JQ</t>
  </si>
  <si>
    <t>FC#68035 DGAC RENOVACION CERTIFICADO AERONAVEGABIL</t>
  </si>
  <si>
    <t>FC#176470 REEMB BOLETOS 94386-1 SERRANO DIEGO</t>
  </si>
  <si>
    <t>FC#176471 FEE TKTS BOLETOS 94386-2 SERRANO DIEGO</t>
  </si>
  <si>
    <t>FC#176472 REEMB BOLETOS 94419-1 QUISHPE JAVIER</t>
  </si>
  <si>
    <t>FC#176473 FEE TKTS BOLETOS 94419-2 QUISHPE JAVIER</t>
  </si>
  <si>
    <t>FC#13400457 COMISIONES Y CARGOS BANCARIOS OCTUBRE</t>
  </si>
  <si>
    <t>Reg. Rol Pagos Enero 2022</t>
  </si>
  <si>
    <t>Reg. Rol Pagos Febrero 2022</t>
  </si>
  <si>
    <t>Reg. Rol Pagos Marzo 2022</t>
  </si>
  <si>
    <t>Reg. Rol Pagos Abril 2022</t>
  </si>
  <si>
    <t>Reg. Rol Pagos Mayo 2022</t>
  </si>
  <si>
    <t>Reg. Rol Pagos Junio 2022</t>
  </si>
  <si>
    <t>Reg. Rol Pagos Julio 2022</t>
  </si>
  <si>
    <t>Reg. Rol Pagos Agosto 2022</t>
  </si>
  <si>
    <t>Reg. Rol Pagos Septiembre 2022</t>
  </si>
  <si>
    <t>Reg. Rol Pagos Octubre 2022</t>
  </si>
  <si>
    <t>Retención en la fuente bajo relación de dependenci</t>
  </si>
  <si>
    <t>FC#546004 SEGURO AEROINSA RC-510862-END-1  OMA RES</t>
  </si>
  <si>
    <t>01/11/2022</t>
  </si>
  <si>
    <t>FC#129114 PANAMERIC.LIFE SEG VIDA Y ASISTENCIA MED</t>
  </si>
  <si>
    <t>FC#129208 PANAMERIC.LIFE SEG VIDA Y ASISTENCIA MED</t>
  </si>
  <si>
    <t>ND 126808290 PAGO RETEN FTE OCT 2022 SRI</t>
  </si>
  <si>
    <t>FC#894 COMPRA DE ACEITE HELICOPTERO HC-CVK</t>
  </si>
  <si>
    <t>20/12/2022</t>
  </si>
  <si>
    <t>ND 40523738 PAGO RETEN FTE NOV 2022 SRI FORM 103</t>
  </si>
  <si>
    <t>FC#298735 INTERNET DEDICADO 5MB- MADIR-AEROPUERTO-</t>
  </si>
  <si>
    <t>FC#25048 HOSPEDAJE 31 OCT 2022 SERRANO DIEGO</t>
  </si>
  <si>
    <t>FC#25070 HOSPEDAJE 31 OCT 2022 PAUL DEL CASTILLO</t>
  </si>
  <si>
    <t>FC#25069 HOSPEDAJE 31 OCT 2022 RODAS GUILLERMO</t>
  </si>
  <si>
    <t>FC#6967 ATENCION VUELO 22/10/2022 - 31/10/2022 N24</t>
  </si>
  <si>
    <t>FC#6971 GH &amp; HANGAR PLATAFORMA OCT/2022 N245FH ECU</t>
  </si>
  <si>
    <t>FC#468054 LAARCOM SERVICIO MONITOREO HANGAR GYE NO</t>
  </si>
  <si>
    <t>03/11/2022</t>
  </si>
  <si>
    <t>FC#7001 ATENCION VUELO 01/11/2022 - 03/11/2022 N24</t>
  </si>
  <si>
    <t>09/11/2022</t>
  </si>
  <si>
    <t>FC#25405 HOSPEDAJE 08 NOV 2022 RODAS GUILLERMO</t>
  </si>
  <si>
    <t>FC#25406 HOSPEDAJE 08 NOV 2022 BENAVIDES XIMENA</t>
  </si>
  <si>
    <t>10/11/2022</t>
  </si>
  <si>
    <t>FC#1174 SERV AUDITORIA EEFF 2022 CUOTA 1/5</t>
  </si>
  <si>
    <t>FC#25434 HOSPEDAJE 09 NOV 2022 RODAS GUILLERMO</t>
  </si>
  <si>
    <t>11/11/2022</t>
  </si>
  <si>
    <t>FC#25477 HOSPEDAJE 10 NOV 2022 RODAS GUILLERMO</t>
  </si>
  <si>
    <t>15/11/2022</t>
  </si>
  <si>
    <t>FC#7069 ATENCION VUELO 11/11/2022 - 12/11/2022 N24</t>
  </si>
  <si>
    <t>FC#7070 ATENCION VUELO 12/11/2022 - 13/11/2022 HC</t>
  </si>
  <si>
    <t>16/12/2022</t>
  </si>
  <si>
    <t>16/11/2022</t>
  </si>
  <si>
    <t>FC#23344 ARRIENDO DE ESPACIO AEROPUERTO G. LC:15-C</t>
  </si>
  <si>
    <t>FC#9731 TRABAJOS MTTO HC-CVK VIBRACIONES DE ROTOR,</t>
  </si>
  <si>
    <t>19/12/2022</t>
  </si>
  <si>
    <t>FC#23358 VARIABLE MENSUAL POR CONCESIÓN MERCANTIL</t>
  </si>
  <si>
    <t>18/11/2022</t>
  </si>
  <si>
    <t>FC#194737 IMPORT REPUESTOS ADUANAS MANEJO, BODEGAJ</t>
  </si>
  <si>
    <t>Factura de proveedores - Cancelación - PN179195904</t>
  </si>
  <si>
    <t>19/11/2022</t>
  </si>
  <si>
    <t>FC#7097 ATENCION VUELO 13/11/2022 - 19/11/2022 HC</t>
  </si>
  <si>
    <t>20/11/2022</t>
  </si>
  <si>
    <t>FC#7100 ATENCION VUELO 19/11/2022 - 20/11/2022 HC</t>
  </si>
  <si>
    <t>FC#7103 ATENCION VUELO 07/11/2022 - 21/11/2022 N24</t>
  </si>
  <si>
    <t>22/11/2022</t>
  </si>
  <si>
    <t>FC#25801 HOSPEDAJE 21 NOV 2022 PAUL DEL CASTILLO</t>
  </si>
  <si>
    <t>FC#25783 HOSPEDAJE 21 NOV 2022 RODAS GUILLERMO</t>
  </si>
  <si>
    <t>FC#25784 HOSPEDAJE 21 NOV 2022 SERRANO DIEGO</t>
  </si>
  <si>
    <t>01/12/2022</t>
  </si>
  <si>
    <t>FC#7169 ATENCION VUELO 27/11/2022 - 30/11/2022 HC</t>
  </si>
  <si>
    <t>FC#7179 GH &amp; HANGAR PLATAFORMA NOV/2022 N245FH ECU</t>
  </si>
  <si>
    <t>FC#301789 INTERNET DEDICADO 5MB- MADIR-AEROPUERTO-</t>
  </si>
  <si>
    <t>FC#7170 ATENCION VUELO 27/11/2022 - 30/11/2022 HC</t>
  </si>
  <si>
    <t>02/12/2022</t>
  </si>
  <si>
    <t>FC#7175 ATENCION VUELO 26/11/2022 - 27/11/2022 HC</t>
  </si>
  <si>
    <t>FC#7205 ATENCION VUELO 22/11/2022 - 02/12/2022 N24</t>
  </si>
  <si>
    <t>FC#26129 HOSPEDAJE 01 DIC 2022 BENAVIDES XIMENA</t>
  </si>
  <si>
    <t>31/12/2022</t>
  </si>
  <si>
    <t>05/12/2022</t>
  </si>
  <si>
    <t>FC#23386 ARRIENDO DE ESPACIO AEROPUERTO G. LC:15-C</t>
  </si>
  <si>
    <t>08/12/2022</t>
  </si>
  <si>
    <t>FC#7240 ATENCION VUELO 05/12/2022 - 08/12/2022 N24</t>
  </si>
  <si>
    <t>13/12/2022</t>
  </si>
  <si>
    <t>FC#1185 SERV AUDITORIA EEFF 2022 CUOTA 2/5</t>
  </si>
  <si>
    <t>FC#23616 VARIABLE MENSUAL POR CONCESIÓN MERCANTIL</t>
  </si>
  <si>
    <t>FC#10457 ESTUDIO ACTUARIAL AL 31/12/2022 8 TRABAJA</t>
  </si>
  <si>
    <t>FC#7320 ATENCION VUELO 12/12/2022 - 20/12/2022 N24</t>
  </si>
  <si>
    <t>21/12/2022</t>
  </si>
  <si>
    <t>FC#7349 ATENCION VUELO 20/12/2022 - 21/12/2022 N24</t>
  </si>
  <si>
    <t>27/12/2022</t>
  </si>
  <si>
    <t>FC#7374 ATENCION VUELO 26/12/2022 - 27/12/2022 N24</t>
  </si>
  <si>
    <t>FC#981 TRABAJOS MTTO AERONAVE HC-CTD 28-29-31 OCT/</t>
  </si>
  <si>
    <t>Retención Fuente 10%</t>
  </si>
  <si>
    <t>12/12/2022</t>
  </si>
  <si>
    <t>FC#1 SERVICIOS AERONAUTICOS NOV/2022</t>
  </si>
  <si>
    <t>30/11/2022</t>
  </si>
  <si>
    <t>Reg. Rol Pagos Noviembre 2022</t>
  </si>
  <si>
    <t>Reg. Rol Pagos Diciembre 2022</t>
  </si>
  <si>
    <t>Grupo</t>
  </si>
  <si>
    <t>Saldo</t>
  </si>
  <si>
    <t>Mes 1</t>
  </si>
  <si>
    <t>01. Adición</t>
  </si>
  <si>
    <t>00. Saldo Inicial</t>
  </si>
  <si>
    <t>03. Anulado</t>
  </si>
  <si>
    <t>02. Pago</t>
  </si>
  <si>
    <t>Comentario2</t>
  </si>
  <si>
    <t>FC#2137 BIOMETRICO HUELLA Y FACIAL MB10-VL  MATERI</t>
  </si>
  <si>
    <t>FC#697 SERV ADMINISTRATIVOS (CANJE AEROPACIFICO)</t>
  </si>
  <si>
    <t>FC#5949 LA CASA DE MARITA, HOSPEDAJE DEL 02 AL 05</t>
  </si>
  <si>
    <t>COMPAÑÍA MODELO S.A.</t>
  </si>
  <si>
    <t>Ref.</t>
  </si>
  <si>
    <t>Notas aclaratorias:</t>
  </si>
  <si>
    <t>Base de decisión: Materialidad</t>
  </si>
  <si>
    <t>General</t>
  </si>
  <si>
    <t>Desempeño</t>
  </si>
  <si>
    <t>Errores Triviales</t>
  </si>
  <si>
    <t>Sumatoria</t>
  </si>
  <si>
    <t>Observaciones:</t>
  </si>
  <si>
    <t>AL 31 DE DICIEMBRE DE 20XX</t>
  </si>
  <si>
    <t>Preliminar</t>
  </si>
  <si>
    <t>Final</t>
  </si>
  <si>
    <t>xxx.xxx</t>
  </si>
  <si>
    <t>Total de retenciones de impuesto a la renta según declaraciones (casillero No. 499)</t>
  </si>
  <si>
    <t>Tomado de mayores contables al 31/xx/20xx (Año de revisión)</t>
  </si>
  <si>
    <t>XX</t>
  </si>
  <si>
    <t>a)</t>
  </si>
  <si>
    <t>b)</t>
  </si>
  <si>
    <t>c)</t>
  </si>
  <si>
    <t>Obs. 1</t>
  </si>
  <si>
    <t>Obs. 2</t>
  </si>
  <si>
    <t>Obs. 3</t>
  </si>
  <si>
    <t>FECHA DE CORTE: _ / _ / 20XX</t>
  </si>
  <si>
    <t>Verificaciones:</t>
  </si>
  <si>
    <t>A</t>
  </si>
  <si>
    <t>B</t>
  </si>
  <si>
    <t>C</t>
  </si>
  <si>
    <t>1.-</t>
  </si>
  <si>
    <t>2.-</t>
  </si>
  <si>
    <t>3.-</t>
  </si>
  <si>
    <t>4.-</t>
  </si>
  <si>
    <t>Solicitar los formularios 103 de enero a XXXXX del año 202X.</t>
  </si>
  <si>
    <t>Desarrollo:</t>
  </si>
  <si>
    <t>CONCILIACIÓN RETENCIONES EN LA FUENTE VS ESTADOS FINANCIEROS</t>
  </si>
  <si>
    <t>Conciliar los valores declarados en los formularios de retención de impuesto a la renta vs estados financieros.</t>
  </si>
  <si>
    <t>Solicitar los mayores o reporte de compras de la Compañía al _/_/202X</t>
  </si>
  <si>
    <t>Realizar el cruce de valores con estados financieros.</t>
  </si>
  <si>
    <t>Cruzar el saldo por pagar de la declaración vs el saldo en estados financieros.</t>
  </si>
  <si>
    <t>Código cuenta contable</t>
  </si>
  <si>
    <t>Nombre cuenta contable</t>
  </si>
  <si>
    <t>p/t 324</t>
  </si>
  <si>
    <t>Cruce con estados financieros</t>
  </si>
  <si>
    <t>Diferencia</t>
  </si>
  <si>
    <t>*** Concluir en función del objetivo.</t>
  </si>
  <si>
    <t>Información proporcionada por el cliente</t>
  </si>
  <si>
    <t>324.02</t>
  </si>
  <si>
    <t>Valores según los registros contables del contribuyente</t>
  </si>
  <si>
    <t>Saldo según registros contables</t>
  </si>
  <si>
    <t>1) Cruce de retenciones segun registros contables vs estado de situación financiera</t>
  </si>
  <si>
    <t>Saldo según EEFF al _/_/20XX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</si>
</sst>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3"/>
      <name val="Tahoma"/>
      <family val="2"/>
    </font>
    <font>
      <b/>
      <sz val="10"/>
      <color rgb="FFFF000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sz val="10"/>
      <color rgb="FF002060"/>
      <name val="Tahoma"/>
      <family val="2"/>
    </font>
    <font>
      <b/>
      <u/>
      <sz val="10"/>
      <name val="Tahoma"/>
      <family val="2"/>
    </font>
    <font>
      <sz val="11"/>
      <color theme="1"/>
      <name val="Calibri"/>
      <family val="2"/>
    </font>
    <font>
      <b/>
      <sz val="10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6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6" fillId="0" borderId="0" applyFont="0" applyFill="0" applyBorder="0" applyAlignment="0" applyProtection="0"/>
    <xf numFmtId="0" fontId="26" fillId="0" borderId="0"/>
  </cellStyleXfs>
  <cellXfs count="103">
    <xf numFmtId="0" fontId="0" fillId="0" borderId="0" xfId="0"/>
    <xf numFmtId="0" fontId="0" fillId="0" borderId="0" xfId="0" pivotButton="1"/>
    <xf numFmtId="43" fontId="0" fillId="0" borderId="0" xfId="0" applyNumberFormat="1"/>
    <xf numFmtId="0" fontId="12" fillId="2" borderId="0" xfId="0" applyFont="1" applyFill="1"/>
    <xf numFmtId="0" fontId="12" fillId="0" borderId="0" xfId="0" applyFont="1"/>
    <xf numFmtId="0" fontId="10" fillId="0" borderId="0" xfId="0" applyFont="1"/>
    <xf numFmtId="164" fontId="14" fillId="0" borderId="2" xfId="0" applyNumberFormat="1" applyFont="1" applyBorder="1" applyAlignment="1">
      <alignment horizontal="left" vertical="center"/>
    </xf>
    <xf numFmtId="164" fontId="12" fillId="0" borderId="2" xfId="0" applyNumberFormat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15" fontId="11" fillId="0" borderId="0" xfId="0" applyNumberFormat="1" applyFont="1" applyAlignment="1">
      <alignment horizontal="center" vertical="center" wrapText="1"/>
    </xf>
    <xf numFmtId="0" fontId="12" fillId="0" borderId="6" xfId="0" applyFont="1" applyBorder="1"/>
    <xf numFmtId="0" fontId="13" fillId="0" borderId="0" xfId="0" applyFont="1"/>
    <xf numFmtId="165" fontId="12" fillId="0" borderId="0" xfId="4" applyNumberFormat="1" applyFont="1" applyFill="1"/>
    <xf numFmtId="165" fontId="12" fillId="0" borderId="0" xfId="0" applyNumberFormat="1" applyFont="1"/>
    <xf numFmtId="165" fontId="13" fillId="0" borderId="0" xfId="4" applyNumberFormat="1" applyFont="1" applyFill="1"/>
    <xf numFmtId="43" fontId="9" fillId="0" borderId="5" xfId="0" applyNumberFormat="1" applyFont="1" applyBorder="1"/>
    <xf numFmtId="0" fontId="12" fillId="2" borderId="7" xfId="0" applyFont="1" applyFill="1" applyBorder="1"/>
    <xf numFmtId="43" fontId="12" fillId="2" borderId="7" xfId="1" applyFont="1" applyFill="1" applyBorder="1"/>
    <xf numFmtId="0" fontId="17" fillId="4" borderId="7" xfId="0" applyFont="1" applyFill="1" applyBorder="1" applyAlignment="1">
      <alignment horizontal="center" vertical="center"/>
    </xf>
    <xf numFmtId="49" fontId="17" fillId="4" borderId="7" xfId="0" applyNumberFormat="1" applyFont="1" applyFill="1" applyBorder="1" applyAlignment="1">
      <alignment horizontal="center" vertical="center"/>
    </xf>
    <xf numFmtId="14" fontId="17" fillId="4" borderId="7" xfId="0" applyNumberFormat="1" applyFont="1" applyFill="1" applyBorder="1" applyAlignment="1">
      <alignment horizontal="center" vertical="center"/>
    </xf>
    <xf numFmtId="43" fontId="17" fillId="4" borderId="7" xfId="18" applyFont="1" applyFill="1" applyBorder="1" applyAlignment="1">
      <alignment horizontal="center" vertical="center"/>
    </xf>
    <xf numFmtId="43" fontId="17" fillId="4" borderId="7" xfId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12" fillId="0" borderId="7" xfId="0" applyFont="1" applyBorder="1"/>
    <xf numFmtId="43" fontId="13" fillId="0" borderId="5" xfId="1" applyFont="1" applyBorder="1"/>
    <xf numFmtId="0" fontId="9" fillId="5" borderId="0" xfId="0" applyFont="1" applyFill="1" applyAlignment="1">
      <alignment horizontal="center"/>
    </xf>
    <xf numFmtId="43" fontId="12" fillId="0" borderId="7" xfId="1" applyFont="1" applyFill="1" applyBorder="1"/>
    <xf numFmtId="0" fontId="10" fillId="2" borderId="1" xfId="17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 wrapText="1"/>
      <protection hidden="1"/>
    </xf>
    <xf numFmtId="0" fontId="5" fillId="0" borderId="0" xfId="0" applyFont="1"/>
    <xf numFmtId="0" fontId="5" fillId="2" borderId="0" xfId="0" applyFont="1" applyFill="1"/>
    <xf numFmtId="0" fontId="9" fillId="0" borderId="8" xfId="0" applyFont="1" applyBorder="1"/>
    <xf numFmtId="0" fontId="18" fillId="0" borderId="0" xfId="0" applyFont="1"/>
    <xf numFmtId="164" fontId="18" fillId="0" borderId="0" xfId="0" applyNumberFormat="1" applyFont="1"/>
    <xf numFmtId="0" fontId="19" fillId="0" borderId="0" xfId="0" applyFont="1"/>
    <xf numFmtId="0" fontId="20" fillId="4" borderId="4" xfId="0" applyFont="1" applyFill="1" applyBorder="1" applyAlignment="1">
      <alignment horizontal="center" vertical="center"/>
    </xf>
    <xf numFmtId="49" fontId="20" fillId="4" borderId="4" xfId="0" applyNumberFormat="1" applyFont="1" applyFill="1" applyBorder="1" applyAlignment="1">
      <alignment horizontal="center" vertical="center"/>
    </xf>
    <xf numFmtId="14" fontId="20" fillId="4" borderId="4" xfId="0" applyNumberFormat="1" applyFont="1" applyFill="1" applyBorder="1" applyAlignment="1">
      <alignment horizontal="center" vertical="center"/>
    </xf>
    <xf numFmtId="43" fontId="20" fillId="4" borderId="4" xfId="18" applyFont="1" applyFill="1" applyBorder="1" applyAlignment="1">
      <alignment horizontal="center" vertical="center"/>
    </xf>
    <xf numFmtId="164" fontId="20" fillId="4" borderId="4" xfId="1" applyNumberFormat="1" applyFont="1" applyFill="1" applyBorder="1" applyAlignment="1">
      <alignment horizontal="center" vertical="center"/>
    </xf>
    <xf numFmtId="0" fontId="21" fillId="0" borderId="0" xfId="0" applyFont="1"/>
    <xf numFmtId="164" fontId="13" fillId="0" borderId="2" xfId="0" applyNumberFormat="1" applyFont="1" applyBorder="1" applyAlignment="1">
      <alignment horizontal="left" vertical="center" shrinkToFit="1"/>
    </xf>
    <xf numFmtId="164" fontId="14" fillId="0" borderId="2" xfId="0" applyNumberFormat="1" applyFont="1" applyBorder="1" applyAlignment="1">
      <alignment horizontal="left" vertical="center" shrinkToFit="1"/>
    </xf>
    <xf numFmtId="164" fontId="12" fillId="0" borderId="2" xfId="0" applyNumberFormat="1" applyFont="1" applyBorder="1" applyAlignment="1">
      <alignment vertical="center" shrinkToFit="1"/>
    </xf>
    <xf numFmtId="164" fontId="10" fillId="0" borderId="2" xfId="0" applyNumberFormat="1" applyFont="1" applyBorder="1" applyAlignment="1">
      <alignment vertical="center" shrinkToFit="1"/>
    </xf>
    <xf numFmtId="0" fontId="9" fillId="0" borderId="9" xfId="0" applyFont="1" applyBorder="1" applyAlignment="1">
      <alignment horizontal="center" vertical="center"/>
    </xf>
    <xf numFmtId="0" fontId="22" fillId="0" borderId="0" xfId="2" applyFont="1"/>
    <xf numFmtId="0" fontId="22" fillId="2" borderId="0" xfId="0" applyFont="1" applyFill="1"/>
    <xf numFmtId="0" fontId="22" fillId="2" borderId="0" xfId="3" applyFont="1" applyFill="1"/>
    <xf numFmtId="0" fontId="23" fillId="0" borderId="0" xfId="17" applyFont="1"/>
    <xf numFmtId="0" fontId="23" fillId="0" borderId="1" xfId="17" applyFont="1" applyBorder="1" applyAlignment="1">
      <alignment horizontal="center"/>
    </xf>
    <xf numFmtId="0" fontId="16" fillId="0" borderId="1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4" fillId="0" borderId="0" xfId="0" applyFont="1"/>
    <xf numFmtId="0" fontId="22" fillId="3" borderId="0" xfId="2" applyFont="1" applyFill="1"/>
    <xf numFmtId="0" fontId="25" fillId="2" borderId="0" xfId="3" applyFont="1" applyFill="1"/>
    <xf numFmtId="164" fontId="14" fillId="0" borderId="5" xfId="0" applyNumberFormat="1" applyFont="1" applyBorder="1" applyAlignment="1">
      <alignment shrinkToFit="1"/>
    </xf>
    <xf numFmtId="164" fontId="14" fillId="0" borderId="5" xfId="0" applyNumberFormat="1" applyFont="1" applyBorder="1"/>
    <xf numFmtId="0" fontId="10" fillId="2" borderId="0" xfId="0" applyFont="1" applyFill="1"/>
    <xf numFmtId="0" fontId="10" fillId="2" borderId="0" xfId="0" applyFont="1" applyFill="1" applyAlignment="1">
      <alignment horizontal="left"/>
    </xf>
    <xf numFmtId="0" fontId="4" fillId="0" borderId="0" xfId="0" applyFont="1"/>
    <xf numFmtId="0" fontId="1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164" fontId="13" fillId="0" borderId="11" xfId="0" applyNumberFormat="1" applyFont="1" applyBorder="1" applyAlignment="1">
      <alignment horizontal="left" vertical="center" shrinkToFit="1"/>
    </xf>
    <xf numFmtId="164" fontId="13" fillId="0" borderId="11" xfId="0" applyNumberFormat="1" applyFont="1" applyBorder="1" applyAlignment="1">
      <alignment horizontal="left" vertical="center"/>
    </xf>
    <xf numFmtId="43" fontId="12" fillId="0" borderId="10" xfId="1" applyFont="1" applyBorder="1" applyAlignment="1">
      <alignment shrinkToFit="1"/>
    </xf>
    <xf numFmtId="43" fontId="12" fillId="0" borderId="10" xfId="1" applyFont="1" applyFill="1" applyBorder="1" applyAlignment="1">
      <alignment shrinkToFit="1"/>
    </xf>
    <xf numFmtId="0" fontId="12" fillId="0" borderId="10" xfId="0" applyFont="1" applyBorder="1"/>
    <xf numFmtId="43" fontId="12" fillId="0" borderId="10" xfId="1" applyFont="1" applyBorder="1"/>
    <xf numFmtId="0" fontId="24" fillId="7" borderId="10" xfId="10" applyFont="1" applyFill="1" applyBorder="1" applyAlignment="1">
      <alignment horizontal="center" vertical="center" wrapText="1"/>
    </xf>
    <xf numFmtId="0" fontId="24" fillId="6" borderId="10" xfId="1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0" xfId="0" applyFont="1" applyBorder="1" applyAlignment="1">
      <alignment shrinkToFit="1"/>
    </xf>
    <xf numFmtId="0" fontId="24" fillId="7" borderId="3" xfId="0" applyFont="1" applyFill="1" applyBorder="1" applyAlignment="1">
      <alignment horizontal="centerContinuous"/>
    </xf>
    <xf numFmtId="0" fontId="24" fillId="7" borderId="4" xfId="0" applyFont="1" applyFill="1" applyBorder="1" applyAlignment="1">
      <alignment horizontal="centerContinuous"/>
    </xf>
    <xf numFmtId="0" fontId="2" fillId="7" borderId="4" xfId="0" applyFont="1" applyFill="1" applyBorder="1" applyAlignment="1">
      <alignment horizontal="centerContinuous"/>
    </xf>
    <xf numFmtId="0" fontId="2" fillId="7" borderId="12" xfId="0" applyFont="1" applyFill="1" applyBorder="1" applyAlignment="1">
      <alignment horizontal="centerContinuous"/>
    </xf>
    <xf numFmtId="0" fontId="24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5" fontId="2" fillId="0" borderId="1" xfId="1" applyNumberFormat="1" applyFont="1" applyBorder="1"/>
    <xf numFmtId="165" fontId="2" fillId="0" borderId="0" xfId="1" applyNumberFormat="1" applyFont="1" applyBorder="1"/>
    <xf numFmtId="165" fontId="2" fillId="0" borderId="5" xfId="0" applyNumberFormat="1" applyFont="1" applyBorder="1"/>
    <xf numFmtId="0" fontId="16" fillId="2" borderId="0" xfId="0" applyFont="1" applyFill="1"/>
    <xf numFmtId="0" fontId="23" fillId="6" borderId="1" xfId="17" applyFont="1" applyFill="1" applyBorder="1" applyAlignment="1">
      <alignment horizontal="center"/>
    </xf>
    <xf numFmtId="0" fontId="5" fillId="6" borderId="1" xfId="0" applyFont="1" applyFill="1" applyBorder="1"/>
    <xf numFmtId="0" fontId="12" fillId="0" borderId="0" xfId="0" applyFont="1" applyAlignment="1">
      <alignment horizontal="right"/>
    </xf>
    <xf numFmtId="0" fontId="24" fillId="6" borderId="3" xfId="0" applyFont="1" applyFill="1" applyBorder="1" applyAlignment="1" applyProtection="1">
      <alignment horizontal="center" vertical="center"/>
      <protection hidden="1"/>
    </xf>
    <xf numFmtId="0" fontId="24" fillId="6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ill="1"/>
    <xf numFmtId="0" fontId="24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Continuous"/>
    </xf>
    <xf numFmtId="43" fontId="16" fillId="0" borderId="10" xfId="1" applyFont="1" applyFill="1" applyBorder="1" applyAlignment="1">
      <alignment horizontal="center"/>
    </xf>
    <xf numFmtId="0" fontId="11" fillId="2" borderId="0" xfId="10" applyFont="1" applyFill="1" applyBorder="1" applyAlignment="1">
      <alignment horizontal="left" vertical="center" wrapText="1"/>
    </xf>
    <xf numFmtId="0" fontId="16" fillId="0" borderId="0" xfId="10" applyFont="1" applyBorder="1" applyAlignment="1">
      <alignment horizontal="right"/>
    </xf>
    <xf numFmtId="0" fontId="24" fillId="6" borderId="10" xfId="10" applyFont="1" applyFill="1" applyBorder="1" applyAlignment="1">
      <alignment horizontal="center" vertical="center" wrapText="1"/>
    </xf>
    <xf numFmtId="0" fontId="27" fillId="8" borderId="10" xfId="10" applyFont="1" applyFill="1" applyBorder="1" applyAlignment="1">
      <alignment horizontal="center"/>
    </xf>
    <xf numFmtId="0" fontId="11" fillId="2" borderId="0" xfId="10" applyFont="1" applyFill="1" applyBorder="1" applyAlignment="1">
      <alignment horizontal="left" vertical="center" wrapText="1"/>
    </xf>
    <xf numFmtId="0" fontId="13" fillId="0" borderId="0" xfId="10" applyFont="1" applyBorder="1" applyAlignment="1">
      <alignment horizontal="left" vertical="center" wrapText="1"/>
    </xf>
  </cellXfs>
  <cellStyles count="20">
    <cellStyle name="Comma_ANALISIS1 2" xfId="8" xr:uid="{00000000-0005-0000-0000-000000000000}"/>
    <cellStyle name="Millares" xfId="1" builtinId="3"/>
    <cellStyle name="Millares 11 2 2" xfId="11" xr:uid="{00000000-0005-0000-0000-000002000000}"/>
    <cellStyle name="Millares 2" xfId="4" xr:uid="{00000000-0005-0000-0000-000003000000}"/>
    <cellStyle name="Millares 2 2" xfId="14" xr:uid="{00000000-0005-0000-0000-000004000000}"/>
    <cellStyle name="Millares 2 3" xfId="15" xr:uid="{00000000-0005-0000-0000-000005000000}"/>
    <cellStyle name="Millares 2 5" xfId="18" xr:uid="{DA212F51-2B73-4513-8C90-8993FE29BCC9}"/>
    <cellStyle name="Normal" xfId="0" builtinId="0"/>
    <cellStyle name="Normal 10" xfId="9" xr:uid="{00000000-0005-0000-0000-000008000000}"/>
    <cellStyle name="Normal 12" xfId="12" xr:uid="{00000000-0005-0000-0000-000009000000}"/>
    <cellStyle name="Normal 2 10" xfId="17" xr:uid="{D4640D84-CCA3-4661-BC0D-A5EF0FD74CCA}"/>
    <cellStyle name="Normal 2 11" xfId="16" xr:uid="{00000000-0005-0000-0000-00000A000000}"/>
    <cellStyle name="Normal 2 2" xfId="3" xr:uid="{00000000-0005-0000-0000-00000B000000}"/>
    <cellStyle name="Normal 2 8" xfId="10" xr:uid="{00000000-0005-0000-0000-00000C000000}"/>
    <cellStyle name="Normal 3 10 2" xfId="6" xr:uid="{00000000-0005-0000-0000-00000D000000}"/>
    <cellStyle name="Normal 7" xfId="19" xr:uid="{2F32891F-7600-4CC4-9374-CB12D6F294BE}"/>
    <cellStyle name="Normal_2102 Sumaria de Efectivo y Equivalentes" xfId="2" xr:uid="{00000000-0005-0000-0000-00000E000000}"/>
    <cellStyle name="Porcentaje 2" xfId="13" xr:uid="{00000000-0005-0000-0000-000013000000}"/>
    <cellStyle name="Porcentaje 3" xfId="7" xr:uid="{00000000-0005-0000-0000-000014000000}"/>
    <cellStyle name="Porcentual 2" xfId="5" xr:uid="{00000000-0005-0000-0000-000015000000}"/>
  </cellStyles>
  <dxfs count="1"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9BFF21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112317</xdr:colOff>
      <xdr:row>32</xdr:row>
      <xdr:rowOff>171847</xdr:rowOff>
    </xdr:from>
    <xdr:to>
      <xdr:col>1</xdr:col>
      <xdr:colOff>304405</xdr:colOff>
      <xdr:row>33</xdr:row>
      <xdr:rowOff>175417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6D5BC-0D1E-4ED0-B9D4-5DA9E6BBC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833" y="469622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306528</xdr:colOff>
      <xdr:row>33</xdr:row>
      <xdr:rowOff>69453</xdr:rowOff>
    </xdr:from>
    <xdr:to>
      <xdr:col>17</xdr:col>
      <xdr:colOff>59531</xdr:colOff>
      <xdr:row>33</xdr:row>
      <xdr:rowOff>69456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590E22C-DA75-4C94-ACF3-6C04CD6D3FC1}"/>
            </a:ext>
          </a:extLst>
        </xdr:cNvPr>
        <xdr:cNvCxnSpPr/>
      </xdr:nvCxnSpPr>
      <xdr:spPr>
        <a:xfrm flipV="1">
          <a:off x="495044" y="4782344"/>
          <a:ext cx="17661987" cy="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55941</xdr:colOff>
      <xdr:row>63</xdr:row>
      <xdr:rowOff>75651</xdr:rowOff>
    </xdr:from>
    <xdr:to>
      <xdr:col>0</xdr:col>
      <xdr:colOff>267238</xdr:colOff>
      <xdr:row>65</xdr:row>
      <xdr:rowOff>21570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9E67C5-2482-4528-80E5-253D63EE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41" y="11897014"/>
          <a:ext cx="211297" cy="209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172832</xdr:colOff>
      <xdr:row>46</xdr:row>
      <xdr:rowOff>182322</xdr:rowOff>
    </xdr:from>
    <xdr:to>
      <xdr:col>0</xdr:col>
      <xdr:colOff>398588</xdr:colOff>
      <xdr:row>46</xdr:row>
      <xdr:rowOff>391733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29EFDE5-B8B8-4C67-BE83-507BE3247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32" y="7903709"/>
          <a:ext cx="225756" cy="209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59196</xdr:colOff>
      <xdr:row>65</xdr:row>
      <xdr:rowOff>0</xdr:rowOff>
    </xdr:from>
    <xdr:to>
      <xdr:col>0</xdr:col>
      <xdr:colOff>270493</xdr:colOff>
      <xdr:row>66</xdr:row>
      <xdr:rowOff>20897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EC2333-7204-48A3-8745-DCB516792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96" y="12084711"/>
          <a:ext cx="211297" cy="20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59532</xdr:colOff>
      <xdr:row>66</xdr:row>
      <xdr:rowOff>0</xdr:rowOff>
    </xdr:from>
    <xdr:ext cx="211297" cy="211297"/>
    <xdr:pic>
      <xdr:nvPicPr>
        <xdr:cNvPr id="9" name="Imagen 8">
          <a:extLst>
            <a:ext uri="{FF2B5EF4-FFF2-40B4-BE49-F238E27FC236}">
              <a16:creationId xmlns:a16="http://schemas.microsoft.com/office/drawing/2014/main" id="{463C7C9D-BCDA-41B5-AAB0-B840F87C9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9505156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2867438</xdr:colOff>
      <xdr:row>44</xdr:row>
      <xdr:rowOff>126139</xdr:rowOff>
    </xdr:from>
    <xdr:ext cx="255670" cy="255670"/>
    <xdr:pic>
      <xdr:nvPicPr>
        <xdr:cNvPr id="10" name="Imagen 9">
          <a:extLst>
            <a:ext uri="{FF2B5EF4-FFF2-40B4-BE49-F238E27FC236}">
              <a16:creationId xmlns:a16="http://schemas.microsoft.com/office/drawing/2014/main" id="{5546A8EE-708E-43E1-8B97-AFF80208E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4913" y="7236514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824881</xdr:colOff>
      <xdr:row>59</xdr:row>
      <xdr:rowOff>35763</xdr:rowOff>
    </xdr:from>
    <xdr:ext cx="192088" cy="192088"/>
    <xdr:pic>
      <xdr:nvPicPr>
        <xdr:cNvPr id="5" name="Imagen 4">
          <a:extLst>
            <a:ext uri="{FF2B5EF4-FFF2-40B4-BE49-F238E27FC236}">
              <a16:creationId xmlns:a16="http://schemas.microsoft.com/office/drawing/2014/main" id="{9B1F4235-9B7E-48AE-9A67-EA82C186A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4433" y="11096346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eston" refreshedDate="44929.006761689816" createdVersion="7" refreshedVersion="7" minRefreshableVersion="3" recordCount="660" xr:uid="{FFBD9EF8-C8D8-4A73-A242-A682E0424844}">
  <cacheSource type="worksheet">
    <worksheetSource ref="A1:J661" sheet="Base"/>
  </cacheSource>
  <cacheFields count="10">
    <cacheField name="Código" numFmtId="0">
      <sharedItems containsSemiMixedTypes="0" containsString="0" containsNumber="1" containsInteger="1" minValue="201040204" maxValue="201040217" count="6">
        <n v="201040204"/>
        <n v="201040216"/>
        <n v="201040217"/>
        <n v="201040206"/>
        <n v="201040214"/>
        <n v="201040209"/>
      </sharedItems>
    </cacheField>
    <cacheField name="Cuenta" numFmtId="0">
      <sharedItems count="6">
        <s v="Retención Fuente 1%"/>
        <s v="Retención Fuente 1.75%"/>
        <s v="Retención Fuente 2.75%"/>
        <s v="Retención Fuente 8%"/>
        <s v="Retención Fuente 0%"/>
        <s v="Retención en la fuente bajo relación de dependenci"/>
      </sharedItems>
    </cacheField>
    <cacheField name="Mes" numFmtId="0">
      <sharedItems containsMixedTypes="1" containsNumber="1" containsInteger="1" minValue="2021" maxValue="2021"/>
    </cacheField>
    <cacheField name="MES2" numFmtId="0">
      <sharedItems containsMixedTypes="1" containsNumber="1" containsInteger="1" minValue="1" maxValue="10" count="10">
        <n v="1"/>
        <s v="2"/>
        <s v="3"/>
        <s v="4"/>
        <s v="5"/>
        <s v="7"/>
        <s v="8"/>
        <s v="9"/>
        <n v="10"/>
        <s v="6"/>
      </sharedItems>
    </cacheField>
    <cacheField name="Fecha" numFmtId="0">
      <sharedItems/>
    </cacheField>
    <cacheField name="Trans_id" numFmtId="0">
      <sharedItems containsString="0" containsBlank="1" containsNumber="1" containsInteger="1" minValue="7936" maxValue="9475"/>
    </cacheField>
    <cacheField name="Comentario" numFmtId="0">
      <sharedItems/>
    </cacheField>
    <cacheField name="Debe" numFmtId="0">
      <sharedItems containsString="0" containsBlank="1" containsNumber="1" minValue="-2040" maxValue="2065.98"/>
    </cacheField>
    <cacheField name="Haber" numFmtId="0">
      <sharedItems containsString="0" containsBlank="1" containsNumber="1" minValue="-15.79" maxValue="2106.7600000000002"/>
    </cacheField>
    <cacheField name="Movimiento" numFmtId="0">
      <sharedItems containsSemiMixedTypes="0" containsString="0" containsNumber="1" minValue="-2106.7600000000002" maxValue="2065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eston" refreshedDate="45008.772461805558" createdVersion="7" refreshedVersion="7" minRefreshableVersion="3" recordCount="346" xr:uid="{0D478EED-220B-4506-96E0-89A62EC39255}">
  <cacheSource type="worksheet">
    <worksheetSource ref="B1:M347" sheet="Hoja1"/>
  </cacheSource>
  <cacheFields count="12">
    <cacheField name="Código" numFmtId="0">
      <sharedItems containsSemiMixedTypes="0" containsString="0" containsNumber="1" containsInteger="1" minValue="201040204" maxValue="201040217" count="6">
        <n v="201040216"/>
        <n v="201040217"/>
        <n v="201040206"/>
        <n v="201040207"/>
        <n v="201040209"/>
        <n v="201040204"/>
      </sharedItems>
    </cacheField>
    <cacheField name="Cuenta" numFmtId="0">
      <sharedItems count="6">
        <s v="Retención Fuente 1.75%"/>
        <s v="Retención Fuente 2.75%"/>
        <s v="Retención Fuente 8%"/>
        <s v="Retención Fuente 10%"/>
        <s v="Retención en la fuente bajo relación de dependencia"/>
        <s v="Retención Fuente 1%"/>
      </sharedItems>
    </cacheField>
    <cacheField name="Mes" numFmtId="0">
      <sharedItems containsMixedTypes="1" containsNumber="1" containsInteger="1" minValue="2021" maxValue="2021"/>
    </cacheField>
    <cacheField name="Fecha" numFmtId="0">
      <sharedItems/>
    </cacheField>
    <cacheField name="Mes 1" numFmtId="0">
      <sharedItems containsString="0" containsBlank="1" containsNumber="1" containsInteger="1" minValue="1" maxValue="12" count="13">
        <m/>
        <n v="1"/>
        <n v="2"/>
        <n v="3"/>
        <n v="5"/>
        <n v="4"/>
        <n v="6"/>
        <n v="7"/>
        <n v="8"/>
        <n v="9"/>
        <n v="10"/>
        <n v="11"/>
        <n v="12"/>
      </sharedItems>
    </cacheField>
    <cacheField name="Trans_id" numFmtId="0">
      <sharedItems containsString="0" containsBlank="1" containsNumber="1" containsInteger="1" minValue="7938" maxValue="9823"/>
    </cacheField>
    <cacheField name="Comentario" numFmtId="0">
      <sharedItems/>
    </cacheField>
    <cacheField name="Debe" numFmtId="164">
      <sharedItems containsString="0" containsBlank="1" containsNumber="1" minValue="-2040" maxValue="2112.81"/>
    </cacheField>
    <cacheField name="Haber" numFmtId="164">
      <sharedItems containsString="0" containsBlank="1" containsNumber="1" minValue="-15.79" maxValue="2112.81"/>
    </cacheField>
    <cacheField name="Movimiento" numFmtId="164">
      <sharedItems containsSemiMixedTypes="0" containsString="0" containsNumber="1" minValue="-2112.81" maxValue="2112.81"/>
    </cacheField>
    <cacheField name="Saldo" numFmtId="164">
      <sharedItems containsSemiMixedTypes="0" containsString="0" containsNumber="1" minValue="-2112.81" maxValue="2008"/>
    </cacheField>
    <cacheField name="Comentario2" numFmtId="0">
      <sharedItems count="4">
        <s v="00. Saldo Inicial"/>
        <s v="01. Adición"/>
        <s v="02. Pago"/>
        <s v="03. Anul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n v="2021"/>
    <x v="0"/>
    <s v="Pasivos"/>
    <m/>
    <s v="Retención Fuente 1%"/>
    <m/>
    <m/>
    <n v="0"/>
  </r>
  <r>
    <x v="0"/>
    <x v="0"/>
    <s v="04/01/2022"/>
    <x v="0"/>
    <s v="04/01/2022"/>
    <n v="7942"/>
    <s v="FC 3158 RECARGA Y MANT EXTINTOR 20,10LBS"/>
    <m/>
    <n v="1.3"/>
    <n v="-1.3"/>
  </r>
  <r>
    <x v="0"/>
    <x v="0"/>
    <s v="05/01/2022"/>
    <x v="0"/>
    <s v="05/01/2022"/>
    <n v="8000"/>
    <s v="FACT. 734 HOSPEDAJE GALAPAGOS GUILLERMO RODAS Y PA"/>
    <m/>
    <n v="2.04"/>
    <n v="-2.04"/>
  </r>
  <r>
    <x v="0"/>
    <x v="0"/>
    <s v="03/02/2022"/>
    <x v="1"/>
    <s v="03/02/2022"/>
    <n v="8059"/>
    <s v="FAC. 3417 TRANSPORTE DE HELICOPTERO DE CANADA A GU"/>
    <m/>
    <n v="8.01"/>
    <n v="-8.01"/>
  </r>
  <r>
    <x v="0"/>
    <x v="0"/>
    <s v="17/02/2022"/>
    <x v="1"/>
    <s v="17/02/2022"/>
    <n v="8093"/>
    <s v="FAC. 000003421 TRANSPORTE DE HELICOPTERO DE CANADA"/>
    <m/>
    <n v="1.43"/>
    <n v="-1.43"/>
  </r>
  <r>
    <x v="0"/>
    <x v="0"/>
    <s v="21/02/2022"/>
    <x v="1"/>
    <s v="21/02/2022"/>
    <n v="8312"/>
    <s v="ND PAGO RETEN FTE ENERO 2022 SRI FORMULARIO 103"/>
    <n v="3.34"/>
    <m/>
    <n v="3.34"/>
  </r>
  <r>
    <x v="0"/>
    <x v="0"/>
    <s v="02/03/2022"/>
    <x v="2"/>
    <s v="02/03/2022"/>
    <n v="8284"/>
    <s v="FC#758 HOSPEDAJE GUILLERMO RODAS DEL 25/02 AL 01/0"/>
    <m/>
    <n v="4"/>
    <n v="-4"/>
  </r>
  <r>
    <x v="0"/>
    <x v="0"/>
    <s v="21/03/2022"/>
    <x v="2"/>
    <s v="21/03/2022"/>
    <n v="8369"/>
    <s v="ND PAGO RETENCION FUENTE FEBRERO 2022 SRI FORM 103"/>
    <n v="9.44"/>
    <m/>
    <n v="9.44"/>
  </r>
  <r>
    <x v="0"/>
    <x v="0"/>
    <s v="24/03/2022"/>
    <x v="2"/>
    <s v="24/03/2022"/>
    <n v="8294"/>
    <s v="FC#3444 TRANSPORTE DE HELICOPTERO DE CANADA A GUAY"/>
    <m/>
    <n v="2.13"/>
    <n v="-2.13"/>
  </r>
  <r>
    <x v="0"/>
    <x v="0"/>
    <s v="04/04/2022"/>
    <x v="3"/>
    <s v="04/04/2022"/>
    <n v="8416"/>
    <s v="FC#5797 PRUEBAS SARS-PCR DIEGO SERRANO"/>
    <m/>
    <n v="0.43"/>
    <n v="-0.43"/>
  </r>
  <r>
    <x v="0"/>
    <x v="0"/>
    <s v="13/04/2022"/>
    <x v="3"/>
    <s v="13/04/2022"/>
    <n v="8378"/>
    <s v="FC#4726 LA CASA DE MARITA, HOSPEDAJE DEL 24 AL 27"/>
    <m/>
    <n v="5.0999999999999996"/>
    <n v="-5.0999999999999996"/>
  </r>
  <r>
    <x v="0"/>
    <x v="0"/>
    <s v="13/04/2022"/>
    <x v="3"/>
    <s v="13/04/2022"/>
    <n v="8379"/>
    <s v="FC#4727 LA CASA DE MARITA, HOSPEDAJE DEL 08 AL 11"/>
    <m/>
    <n v="8.9600000000000009"/>
    <n v="-8.9600000000000009"/>
  </r>
  <r>
    <x v="0"/>
    <x v="0"/>
    <s v="19/04/2022"/>
    <x v="3"/>
    <s v="19/04/2022"/>
    <n v="8572"/>
    <s v="ND 26570501 PAGO RETENCIONES FUENTE MARZO 2022 SRI"/>
    <n v="6.13"/>
    <m/>
    <n v="6.13"/>
  </r>
  <r>
    <x v="0"/>
    <x v="0"/>
    <s v="19/05/2022"/>
    <x v="4"/>
    <s v="19/05/2022"/>
    <n v="8661"/>
    <s v="ND 25372192 PAGO RETENCIONES FUENTE ABRIL 2022 FOR"/>
    <n v="14.49"/>
    <m/>
    <n v="14.49"/>
  </r>
  <r>
    <x v="0"/>
    <x v="0"/>
    <s v="11/07/2022"/>
    <x v="5"/>
    <s v="11/07/2022"/>
    <n v="8799"/>
    <s v="FC#3942 RECARGA EXTINTOR 150 LBS, MANOMETRO Y MANG"/>
    <m/>
    <n v="2.0699999999999998"/>
    <n v="-2.0699999999999998"/>
  </r>
  <r>
    <x v="0"/>
    <x v="0"/>
    <s v="11/07/2022"/>
    <x v="5"/>
    <s v="11/07/2022"/>
    <n v="8800"/>
    <s v="FC#737 CARGA DE NITROGENO EXTINTOR PLATAFORMA"/>
    <m/>
    <n v="0.49"/>
    <n v="-0.49"/>
  </r>
  <r>
    <x v="0"/>
    <x v="0"/>
    <s v="11/07/2022"/>
    <x v="5"/>
    <s v="11/07/2022"/>
    <n v="8905"/>
    <s v="FC#39 CURSO INICIAL MERC PELIGROSAS-SEG AVIACION S"/>
    <m/>
    <n v="10"/>
    <n v="-10"/>
  </r>
  <r>
    <x v="0"/>
    <x v="0"/>
    <s v="01/08/2022"/>
    <x v="6"/>
    <s v="01/08/2022"/>
    <n v="9013"/>
    <s v="FC 2540 AJUSTE Y CALIBRACION TORQUIMETRO K-D TOOLS"/>
    <m/>
    <n v="1.69"/>
    <n v="-1.69"/>
  </r>
  <r>
    <x v="0"/>
    <x v="0"/>
    <s v="19/08/2022"/>
    <x v="6"/>
    <s v="19/08/2022"/>
    <n v="9152"/>
    <s v="ND PAGO RETENCIONES FUENTE JULIO 2022 SRI FORM 103"/>
    <n v="12.56"/>
    <m/>
    <n v="12.56"/>
  </r>
  <r>
    <x v="0"/>
    <x v="0"/>
    <s v="01/09/2022"/>
    <x v="7"/>
    <s v="01/09/2022"/>
    <n v="9238"/>
    <s v="FC#306 LIMP Y MTTO HC-CVK, HC-CXH, HC-CTD"/>
    <m/>
    <n v="16.45"/>
    <n v="-16.45"/>
  </r>
  <r>
    <x v="0"/>
    <x v="0"/>
    <s v="20/09/2022"/>
    <x v="7"/>
    <s v="20/09/2022"/>
    <n v="9284"/>
    <s v="ND 29962985 PAGO RETEN FTE AGOSTO 2022 SRI FORM 10"/>
    <n v="1.69"/>
    <m/>
    <n v="1.69"/>
  </r>
  <r>
    <x v="0"/>
    <x v="0"/>
    <s v="03/10/2022"/>
    <x v="8"/>
    <s v="03/10/2022"/>
    <n v="9353"/>
    <s v="FC#307 LIMP Y MTTO HC-CVK, HC-CXH, HC-CTD"/>
    <m/>
    <n v="16.100000000000001"/>
    <n v="-16.100000000000001"/>
  </r>
  <r>
    <x v="0"/>
    <x v="0"/>
    <s v="19/10/2022"/>
    <x v="8"/>
    <s v="19/10/2022"/>
    <n v="9424"/>
    <s v="ND 30480126 PAGO RETEN FUENTE SEP 2022 SRI FORM 10"/>
    <n v="16.45"/>
    <m/>
    <n v="16.45"/>
  </r>
  <r>
    <x v="1"/>
    <x v="1"/>
    <n v="2021"/>
    <x v="0"/>
    <s v="Pasivos"/>
    <m/>
    <s v="Retención Fuente 1.75%"/>
    <m/>
    <m/>
    <n v="-16.46"/>
  </r>
  <r>
    <x v="1"/>
    <x v="1"/>
    <s v="03/01/2022"/>
    <x v="0"/>
    <s v="02/01/2022"/>
    <n v="8111"/>
    <s v="FC.111984 PANAMERIC.LIFE SEG VIDA Y ASISTENCIA MED"/>
    <m/>
    <n v="0.5"/>
    <n v="-0.5"/>
  </r>
  <r>
    <x v="1"/>
    <x v="1"/>
    <s v="03/01/2022"/>
    <x v="0"/>
    <s v="02/01/2022"/>
    <n v="8116"/>
    <s v="Factura de proveedores - Cancelación - PN179260268"/>
    <m/>
    <n v="-0.5"/>
    <n v="0.5"/>
  </r>
  <r>
    <x v="1"/>
    <x v="1"/>
    <s v="03/01/2022"/>
    <x v="0"/>
    <s v="03/01/2022"/>
    <n v="8001"/>
    <s v="FC.110749 PANAMERIC.LIFE SEG VIDA Y ASISTENCIA MED"/>
    <m/>
    <n v="1.04"/>
    <n v="-1.04"/>
  </r>
  <r>
    <x v="1"/>
    <x v="1"/>
    <s v="03/01/2022"/>
    <x v="0"/>
    <s v="03/01/2022"/>
    <n v="8002"/>
    <s v="FC.110750 PANAMERIC.LIFE SEG VIDA Y ASISTENCIA MED"/>
    <m/>
    <n v="0.17"/>
    <n v="-0.17"/>
  </r>
  <r>
    <x v="1"/>
    <x v="1"/>
    <s v="03/01/2022"/>
    <x v="0"/>
    <s v="03/01/2022"/>
    <n v="8003"/>
    <s v="FC.110751 PANAMERIC.LIFE SEG VIDA Y ASISTENCIA MED"/>
    <m/>
    <n v="0.44"/>
    <n v="-0.44"/>
  </r>
  <r>
    <x v="1"/>
    <x v="1"/>
    <s v="03/01/2022"/>
    <x v="0"/>
    <s v="03/01/2022"/>
    <n v="8004"/>
    <s v="FC.110752 PANAMERIC.LIFE SEG VIDA Y ASISTENCIA MED"/>
    <m/>
    <n v="0.5"/>
    <n v="-0.5"/>
  </r>
  <r>
    <x v="1"/>
    <x v="1"/>
    <s v="03/01/2022"/>
    <x v="0"/>
    <s v="03/01/2022"/>
    <n v="8005"/>
    <s v="FC.110753 PANAMERIC.LIFE SEG VIDA Y ASISTENCIA MED"/>
    <m/>
    <n v="0.22"/>
    <n v="-0.22"/>
  </r>
  <r>
    <x v="1"/>
    <x v="1"/>
    <s v="03/01/2022"/>
    <x v="0"/>
    <s v="03/01/2022"/>
    <n v="8015"/>
    <s v="Factura de proveedores - Cancelación - PN179260268"/>
    <m/>
    <n v="-1.04"/>
    <n v="1.04"/>
  </r>
  <r>
    <x v="1"/>
    <x v="1"/>
    <s v="03/01/2022"/>
    <x v="0"/>
    <s v="03/01/2022"/>
    <n v="8016"/>
    <s v="Factura de proveedores - Cancelación - PN179260268"/>
    <m/>
    <n v="-0.17"/>
    <n v="0.17"/>
  </r>
  <r>
    <x v="1"/>
    <x v="1"/>
    <s v="03/01/2022"/>
    <x v="0"/>
    <s v="03/01/2022"/>
    <n v="8018"/>
    <s v="Factura de proveedores - Cancelación - PN179260268"/>
    <m/>
    <n v="-0.44"/>
    <n v="0.44"/>
  </r>
  <r>
    <x v="1"/>
    <x v="1"/>
    <s v="06/01/2022"/>
    <x v="0"/>
    <s v="06/01/2022"/>
    <n v="8006"/>
    <s v="FC.110754 PANAMERIC.LIFE SEG VIDA Y ASISTENCIA MED"/>
    <m/>
    <n v="0.67"/>
    <n v="-0.67"/>
  </r>
  <r>
    <x v="1"/>
    <x v="1"/>
    <s v="06/01/2022"/>
    <x v="0"/>
    <s v="06/01/2022"/>
    <n v="8017"/>
    <s v="Factura de proveedores - Cancelación - PN179260268"/>
    <m/>
    <n v="-0.67"/>
    <n v="0.67"/>
  </r>
  <r>
    <x v="1"/>
    <x v="1"/>
    <s v="11/01/2022"/>
    <x v="0"/>
    <s v="11/01/2022"/>
    <n v="7973"/>
    <s v="FAC. 5386 PRUEBAS SARS-PCR PAUL DEL CASTLLO DIEGO"/>
    <m/>
    <n v="1.66"/>
    <n v="-1.66"/>
  </r>
  <r>
    <x v="1"/>
    <x v="1"/>
    <s v="19/01/2022"/>
    <x v="0"/>
    <s v="19/01/2022"/>
    <n v="8072"/>
    <s v="ND PAGO RETENCIONES FUENTE DIC 2021 FORM 103 SRI"/>
    <n v="16.46"/>
    <m/>
    <n v="16.46"/>
  </r>
  <r>
    <x v="1"/>
    <x v="1"/>
    <s v="25/01/2022"/>
    <x v="0"/>
    <s v="25/01/2022"/>
    <n v="8021"/>
    <s v="FAC. 551 MANT. Y DESP. HELICOPTERO DEL 25 AL 28 DE"/>
    <m/>
    <n v="10.5"/>
    <n v="-10.5"/>
  </r>
  <r>
    <x v="1"/>
    <x v="1"/>
    <s v="27/01/2022"/>
    <x v="0"/>
    <s v="27/01/2022"/>
    <n v="8057"/>
    <s v="FAC.000000113 SERVICIOS REEMPLAZO PATRICIO VILLACR"/>
    <m/>
    <n v="3.5"/>
    <n v="-3.5"/>
  </r>
  <r>
    <x v="1"/>
    <x v="1"/>
    <s v="02/02/2022"/>
    <x v="1"/>
    <s v="02/02/2022"/>
    <n v="8110"/>
    <s v="FC.111987 PANAMERIC.LIFE SEG VIDA Y ASISTENCIA MED"/>
    <m/>
    <n v="0.22"/>
    <n v="-0.22"/>
  </r>
  <r>
    <x v="1"/>
    <x v="1"/>
    <s v="02/02/2022"/>
    <x v="1"/>
    <s v="02/02/2022"/>
    <n v="8117"/>
    <s v="FC.111984 PANAMERIC.LIFE SEG VIDA Y ASISTENCIA MED"/>
    <m/>
    <n v="0.5"/>
    <n v="-0.5"/>
  </r>
  <r>
    <x v="1"/>
    <x v="1"/>
    <s v="07/02/2022"/>
    <x v="1"/>
    <s v="07/02/2022"/>
    <n v="8062"/>
    <s v="FAC.8945 COMPRA LAPTO GATEWAY GWTN156 R5 S.1GWTN15"/>
    <m/>
    <n v="11.72"/>
    <n v="-11.72"/>
  </r>
  <r>
    <x v="1"/>
    <x v="1"/>
    <s v="09/02/2022"/>
    <x v="1"/>
    <s v="09/02/2022"/>
    <n v="8082"/>
    <s v="FAC.121877 SEGURO PARA HELICOPTERO-CONTENEDOR-Y TO"/>
    <m/>
    <n v="10.09"/>
    <n v="-10.09"/>
  </r>
  <r>
    <x v="1"/>
    <x v="1"/>
    <s v="21/02/2022"/>
    <x v="1"/>
    <s v="21/02/2022"/>
    <n v="8312"/>
    <s v="ND PAGO RETEN FTE ENERO 2022 SRI FORMULARIO 103"/>
    <n v="16.38"/>
    <m/>
    <n v="16.38"/>
  </r>
  <r>
    <x v="1"/>
    <x v="1"/>
    <s v="21/03/2022"/>
    <x v="2"/>
    <s v="21/03/2022"/>
    <n v="8369"/>
    <s v="ND PAGO RETENCION FUENTE FEBRERO 2022 SRI FORM 103"/>
    <n v="22.53"/>
    <m/>
    <n v="22.53"/>
  </r>
  <r>
    <x v="1"/>
    <x v="1"/>
    <s v="24/03/2022"/>
    <x v="2"/>
    <s v="24/03/2022"/>
    <n v="8325"/>
    <s v="FC#115504 PANAMERIC.LIFE SEG VIDA Y ASISTENCIA MED"/>
    <m/>
    <n v="0.5"/>
    <n v="-0.5"/>
  </r>
  <r>
    <x v="1"/>
    <x v="1"/>
    <s v="24/03/2022"/>
    <x v="2"/>
    <s v="24/03/2022"/>
    <n v="8326"/>
    <s v="FC#115507 PANAMERIC.LIFE SEG VIDA Y ASISTENCIA MED"/>
    <m/>
    <n v="0.22"/>
    <n v="-0.22"/>
  </r>
  <r>
    <x v="1"/>
    <x v="1"/>
    <s v="02/05/2022"/>
    <x v="4"/>
    <s v="01/04/2022"/>
    <n v="8412"/>
    <s v="FC#23831 SEGURO VH-512821-END-1"/>
    <m/>
    <n v="1.1000000000000001"/>
    <n v="-1.1000000000000001"/>
  </r>
  <r>
    <x v="1"/>
    <x v="1"/>
    <s v="04/04/2022"/>
    <x v="3"/>
    <s v="04/04/2022"/>
    <n v="8413"/>
    <s v="FC#116227 PANAMERIC.LIFE SEG VIDA Y ASISTENCIA MED"/>
    <m/>
    <n v="0.5"/>
    <n v="-0.5"/>
  </r>
  <r>
    <x v="1"/>
    <x v="1"/>
    <s v="04/04/2022"/>
    <x v="3"/>
    <s v="04/04/2022"/>
    <n v="8415"/>
    <s v="FC#116228 PANAMERIC.LIFE SEG VIDA Y ASISTENCIA MED"/>
    <m/>
    <n v="0.22"/>
    <n v="-0.22"/>
  </r>
  <r>
    <x v="1"/>
    <x v="1"/>
    <s v="19/04/2022"/>
    <x v="3"/>
    <s v="19/04/2022"/>
    <n v="8572"/>
    <s v="ND 26570501 PAGO RETENCIONES FUENTE MARZO 2022 SRI"/>
    <n v="0.72"/>
    <m/>
    <n v="0.72"/>
  </r>
  <r>
    <x v="1"/>
    <x v="1"/>
    <s v="20/05/2022"/>
    <x v="4"/>
    <s v="20/04/2022"/>
    <n v="8443"/>
    <s v="FC#546004 SEGURO AEROINSA RC-510862-END-1"/>
    <m/>
    <n v="8.75"/>
    <n v="-8.75"/>
  </r>
  <r>
    <x v="1"/>
    <x v="1"/>
    <s v="03/05/2022"/>
    <x v="4"/>
    <s v="03/05/2022"/>
    <n v="8498"/>
    <s v="FC#117789 PANAMERIC.LIFE SEG VIDA Y ASISTENCIA MED"/>
    <m/>
    <n v="0.22"/>
    <n v="-0.22"/>
  </r>
  <r>
    <x v="1"/>
    <x v="1"/>
    <s v="03/05/2022"/>
    <x v="4"/>
    <s v="03/05/2022"/>
    <n v="8499"/>
    <s v="FC#117788 PANAMERIC.LIFE SEG VIDA Y ASISTENCIA MED"/>
    <m/>
    <n v="0.5"/>
    <n v="-0.5"/>
  </r>
  <r>
    <x v="1"/>
    <x v="1"/>
    <s v="19/05/2022"/>
    <x v="4"/>
    <s v="19/05/2022"/>
    <n v="8661"/>
    <s v="ND 25372192 PAGO RETENCIONES FUENTE ABRIL 2022 FOR"/>
    <n v="10.57"/>
    <m/>
    <n v="10.57"/>
  </r>
  <r>
    <x v="1"/>
    <x v="1"/>
    <s v="24/05/2022"/>
    <x v="4"/>
    <s v="24/05/2022"/>
    <n v="8583"/>
    <s v="FC#2046 AIRE ACONDICIONADO PARA OFICINA VIKEMAN"/>
    <m/>
    <n v="6.08"/>
    <n v="-6.08"/>
  </r>
  <r>
    <x v="1"/>
    <x v="1"/>
    <s v="01/06/2022"/>
    <x v="9"/>
    <s v="01/06/2022"/>
    <n v="8688"/>
    <s v="FC#119695 PANAMERIC.LIFE SEG VIDA Y ASISTENCIA MED"/>
    <m/>
    <n v="0.22"/>
    <n v="-0.22"/>
  </r>
  <r>
    <x v="1"/>
    <x v="1"/>
    <s v="01/06/2022"/>
    <x v="9"/>
    <s v="01/06/2022"/>
    <n v="8750"/>
    <s v="FC#119694 PANAMERIC.LIFE SEG VIDA Y ASISTENCIA MED"/>
    <m/>
    <n v="0.5"/>
    <n v="-0.5"/>
  </r>
  <r>
    <x v="1"/>
    <x v="1"/>
    <s v="21/06/2022"/>
    <x v="9"/>
    <s v="21/06/2022"/>
    <n v="8886"/>
    <s v="ND PAGO RETENCIONES FUENTE MAYO SRI FORM 103"/>
    <n v="6.8"/>
    <m/>
    <n v="6.8"/>
  </r>
  <r>
    <x v="1"/>
    <x v="1"/>
    <s v="04/07/2022"/>
    <x v="5"/>
    <s v="04/07/2022"/>
    <n v="8801"/>
    <s v="FC#121767 PANAMERIC.LIFE SEG VIDA Y ASISTENCIA MED"/>
    <m/>
    <n v="0.22"/>
    <n v="-0.22"/>
  </r>
  <r>
    <x v="1"/>
    <x v="1"/>
    <s v="04/07/2022"/>
    <x v="5"/>
    <s v="04/07/2022"/>
    <n v="8802"/>
    <s v="FC#119694 PANAMERIC.LIFE SEG VIDA Y ASISTENCIA MED"/>
    <m/>
    <n v="0.83"/>
    <n v="-0.83"/>
  </r>
  <r>
    <x v="1"/>
    <x v="1"/>
    <s v="19/07/2022"/>
    <x v="5"/>
    <s v="19/07/2022"/>
    <n v="8956"/>
    <s v="ND PAGO RETEN FTE JUNIO 2022 FORM 103 SRI"/>
    <n v="228.52"/>
    <m/>
    <n v="228.52"/>
  </r>
  <r>
    <x v="1"/>
    <x v="1"/>
    <s v="19/07/2022"/>
    <x v="5"/>
    <s v="19/07/2022"/>
    <n v="8986"/>
    <s v="ND PAGO RETEN FTE JUNIO 2022 FORM 103 SRI(Anulació"/>
    <n v="-228.52"/>
    <m/>
    <n v="-228.52"/>
  </r>
  <r>
    <x v="1"/>
    <x v="1"/>
    <s v="19/07/2022"/>
    <x v="5"/>
    <s v="19/07/2022"/>
    <n v="8987"/>
    <s v="ND PAGO RETEN FTE JUNIO 2022 FORM 103 SRI"/>
    <n v="0.72"/>
    <m/>
    <n v="0.72"/>
  </r>
  <r>
    <x v="1"/>
    <x v="1"/>
    <s v="29/07/2022"/>
    <x v="5"/>
    <s v="29/07/2022"/>
    <n v="8846"/>
    <s v="FACT. 460836 COMPRAS VARIAS MANTENIMIENTO BANO VIP"/>
    <m/>
    <n v="13.83"/>
    <n v="-13.83"/>
  </r>
  <r>
    <x v="1"/>
    <x v="1"/>
    <s v="01/08/2022"/>
    <x v="6"/>
    <s v="01/08/2022"/>
    <n v="9027"/>
    <s v="FC#123262 PANAMERIC.LIFE SEG VIDA Y ASISTENCIA MED"/>
    <m/>
    <n v="0.67"/>
    <n v="-0.67"/>
  </r>
  <r>
    <x v="1"/>
    <x v="1"/>
    <s v="05/08/2022"/>
    <x v="6"/>
    <s v="05/08/2022"/>
    <n v="9115"/>
    <s v="FC#123559 PANAMERIC.LIFE SEG VIDA Y ASISTENCIA MED"/>
    <m/>
    <n v="0.22"/>
    <n v="-0.22"/>
  </r>
  <r>
    <x v="1"/>
    <x v="1"/>
    <s v="19/08/2022"/>
    <x v="6"/>
    <s v="19/08/2022"/>
    <n v="9152"/>
    <s v="ND PAGO RETENCIONES FUENTE JULIO 2022 SRI FORM 103"/>
    <n v="14.88"/>
    <m/>
    <n v="14.88"/>
  </r>
  <r>
    <x v="1"/>
    <x v="1"/>
    <s v="05/09/2022"/>
    <x v="7"/>
    <s v="05/09/2022"/>
    <n v="9176"/>
    <s v="FC#125589 PANAMERIC.LIFE SEG VIDA Y ASISTENCIA MED"/>
    <m/>
    <n v="0.67"/>
    <n v="-0.67"/>
  </r>
  <r>
    <x v="1"/>
    <x v="1"/>
    <s v="05/09/2022"/>
    <x v="7"/>
    <s v="05/09/2022"/>
    <n v="9177"/>
    <s v="FC#125590 PANAMERIC.LIFE SEG VIDA Y ASISTENCIA MED"/>
    <m/>
    <n v="0.22"/>
    <n v="-0.22"/>
  </r>
  <r>
    <x v="1"/>
    <x v="1"/>
    <s v="20/09/2022"/>
    <x v="7"/>
    <s v="20/09/2022"/>
    <n v="9284"/>
    <s v="ND 29962985 PAGO RETEN FTE AGOSTO 2022 SRI FORM 10"/>
    <n v="0.89"/>
    <m/>
    <n v="0.89"/>
  </r>
  <r>
    <x v="1"/>
    <x v="1"/>
    <s v="03/10/2022"/>
    <x v="8"/>
    <s v="03/10/2022"/>
    <n v="9385"/>
    <s v="FC#127220 PANAMERIC.LIFE SEG VIDA Y ASISTENCIA MED"/>
    <m/>
    <n v="0.67"/>
    <n v="-0.67"/>
  </r>
  <r>
    <x v="1"/>
    <x v="1"/>
    <s v="03/10/2022"/>
    <x v="8"/>
    <s v="03/10/2022"/>
    <n v="9386"/>
    <s v="FC#127223 PANAMERIC.LIFE SEG VIDA Y ASISTENCIA MED"/>
    <m/>
    <n v="0.22"/>
    <n v="-0.22"/>
  </r>
  <r>
    <x v="1"/>
    <x v="1"/>
    <s v="03/10/2022"/>
    <x v="8"/>
    <s v="03/10/2022"/>
    <n v="9443"/>
    <s v="Factura de proveedores - Cancelación - PN179260268"/>
    <m/>
    <n v="-0.22"/>
    <n v="0.22"/>
  </r>
  <r>
    <x v="1"/>
    <x v="1"/>
    <s v="03/10/2022"/>
    <x v="8"/>
    <s v="03/10/2022"/>
    <n v="9444"/>
    <s v="FC#127223 PANAMERIC.LIFE SEG VIDA Y ASISTENCIA MED"/>
    <m/>
    <n v="0.22"/>
    <n v="-0.22"/>
  </r>
  <r>
    <x v="1"/>
    <x v="1"/>
    <s v="19/10/2022"/>
    <x v="8"/>
    <s v="19/10/2022"/>
    <n v="9424"/>
    <s v="ND 30480126 PAGO RETEN FUENTE SEP 2022 SRI FORM 10"/>
    <n v="0.89"/>
    <m/>
    <n v="0.89"/>
  </r>
  <r>
    <x v="1"/>
    <x v="1"/>
    <s v="28/11/2022"/>
    <x v="0"/>
    <s v="28/10/2022"/>
    <n v="9403"/>
    <s v="FC#623492 SEGURO POLIZA CASCO-PERD LICENCIAS CA-51"/>
    <m/>
    <n v="141.5"/>
    <n v="-141.5"/>
  </r>
  <r>
    <x v="1"/>
    <x v="1"/>
    <s v="28/11/2022"/>
    <x v="0"/>
    <s v="28/10/2022"/>
    <n v="9404"/>
    <s v="FC#623493 SEGURO POLIZA CASCO-PERD LICENCIAS CA-51"/>
    <m/>
    <n v="10.44"/>
    <n v="-10.44"/>
  </r>
  <r>
    <x v="2"/>
    <x v="2"/>
    <n v="2021"/>
    <x v="0"/>
    <s v="Pasivos"/>
    <m/>
    <s v="Retención Fuente 2.75%"/>
    <m/>
    <m/>
    <n v="-1073.7"/>
  </r>
  <r>
    <x v="2"/>
    <x v="2"/>
    <s v="03/01/2022"/>
    <x v="0"/>
    <s v="01/01/2022"/>
    <n v="8007"/>
    <s v="FAC,.4950 INCINERATOR-PASSENGER-ADMINISTRACION"/>
    <m/>
    <n v="6.54"/>
    <n v="-6.54"/>
  </r>
  <r>
    <x v="2"/>
    <x v="2"/>
    <s v="03/01/2022"/>
    <x v="0"/>
    <s v="01/01/2022"/>
    <n v="8008"/>
    <s v="FAC. 4948 SERVICIOS COMPELEMTARIOS"/>
    <m/>
    <n v="3.93"/>
    <n v="-3.93"/>
  </r>
  <r>
    <x v="2"/>
    <x v="2"/>
    <s v="03/01/2022"/>
    <x v="0"/>
    <s v="03/01/2022"/>
    <n v="7938"/>
    <s v="FC 268828 INTERNET DEDICADO 5MB- MADIR-AEROPUERTO-"/>
    <m/>
    <n v="1.38"/>
    <n v="-1.38"/>
  </r>
  <r>
    <x v="2"/>
    <x v="2"/>
    <s v="06/01/2022"/>
    <x v="0"/>
    <s v="06/01/2022"/>
    <n v="7944"/>
    <s v="FC.8228 E.M.A. TARIFA CORPORATIVA VALORADO AL 31 D"/>
    <m/>
    <n v="6.33"/>
    <n v="-6.33"/>
  </r>
  <r>
    <x v="2"/>
    <x v="2"/>
    <s v="11/02/2022"/>
    <x v="1"/>
    <s v="11/01/2022"/>
    <n v="8012"/>
    <s v="FAC.20671 ARRIENDO DE ESPACIO AEROPUESTO G. NOV-DI"/>
    <m/>
    <n v="121"/>
    <n v="-121"/>
  </r>
  <r>
    <x v="2"/>
    <x v="2"/>
    <s v="12/01/2022"/>
    <x v="0"/>
    <s v="12/01/2022"/>
    <n v="8011"/>
    <s v="FACX. 964 AUDITORIA A LOS ESTADOS DINANCIEROS AL 3"/>
    <m/>
    <n v="11"/>
    <n v="-11"/>
  </r>
  <r>
    <x v="2"/>
    <x v="2"/>
    <s v="18/02/2022"/>
    <x v="1"/>
    <s v="18/01/2022"/>
    <n v="8013"/>
    <s v="FAC. 20710 ARRIENDO DE ESPACIO AEROPUESTO G. MES D"/>
    <m/>
    <n v="60.5"/>
    <n v="-60.5"/>
  </r>
  <r>
    <x v="2"/>
    <x v="2"/>
    <s v="18/02/2022"/>
    <x v="1"/>
    <s v="18/01/2022"/>
    <n v="8014"/>
    <s v="FAC. 20713 VARIABLE MENSUAL SOBRE VENTAS 10%"/>
    <m/>
    <n v="11.89"/>
    <n v="-11.89"/>
  </r>
  <r>
    <x v="2"/>
    <x v="2"/>
    <s v="19/01/2022"/>
    <x v="0"/>
    <s v="19/01/2022"/>
    <n v="7968"/>
    <s v="FACT. 301966 RENOVACION FIRMA ELECTRONICA MEM SECU"/>
    <m/>
    <n v="0.55000000000000004"/>
    <n v="-0.55000000000000004"/>
  </r>
  <r>
    <x v="2"/>
    <x v="2"/>
    <s v="19/01/2022"/>
    <x v="0"/>
    <s v="19/01/2022"/>
    <n v="8072"/>
    <s v="ND PAGO RETENCIONES FUENTE DIC 2021 FORM 103 SRI"/>
    <n v="1073.7"/>
    <m/>
    <n v="1073.7"/>
  </r>
  <r>
    <x v="2"/>
    <x v="2"/>
    <s v="21/01/2022"/>
    <x v="0"/>
    <s v="21/01/2022"/>
    <n v="8020"/>
    <s v="FAC.3342 HONORARIO NULIDAD DE SENTENCIA EDISON CAL"/>
    <m/>
    <n v="4.54"/>
    <n v="-4.54"/>
  </r>
  <r>
    <x v="2"/>
    <x v="2"/>
    <s v="24/01/2022"/>
    <x v="0"/>
    <s v="24/01/2022"/>
    <n v="7970"/>
    <s v="FAC.16631 INGRESO ECUAPAS,ADM. VTO.SERVICIOS DE EM"/>
    <m/>
    <n v="11.41"/>
    <n v="-11.41"/>
  </r>
  <r>
    <x v="2"/>
    <x v="2"/>
    <s v="27/01/2022"/>
    <x v="0"/>
    <s v="27/01/2022"/>
    <n v="8083"/>
    <s v="FAC. 4341 SERVICIOS POR ACTIVIDADES DE COMERCIO EX"/>
    <m/>
    <n v="13.2"/>
    <n v="-13.2"/>
  </r>
  <r>
    <x v="2"/>
    <x v="2"/>
    <s v="01/02/2022"/>
    <x v="1"/>
    <s v="01/02/2022"/>
    <n v="8085"/>
    <s v="FAC. 000271778 INTERNET DEDICADO 5MB- MADIR-AEROPU"/>
    <m/>
    <n v="1.38"/>
    <n v="-1.38"/>
  </r>
  <r>
    <x v="2"/>
    <x v="2"/>
    <s v="01/02/2022"/>
    <x v="1"/>
    <s v="01/02/2022"/>
    <n v="8086"/>
    <s v="FAC.985 AUDITORIA A LOS ESTADOS FINANCIEROS AL 31/"/>
    <m/>
    <n v="11"/>
    <n v="-11"/>
  </r>
  <r>
    <x v="2"/>
    <x v="2"/>
    <s v="03/03/2022"/>
    <x v="2"/>
    <s v="03/02/2022"/>
    <n v="8089"/>
    <s v="FAC. 20737 ARRIENDO DE ESPACIO AEROPUESTO G. MES D"/>
    <m/>
    <n v="60.5"/>
    <n v="-60.5"/>
  </r>
  <r>
    <x v="2"/>
    <x v="2"/>
    <s v="07/03/2022"/>
    <x v="2"/>
    <s v="07/02/2022"/>
    <n v="8092"/>
    <s v="FAC. 20890 VARIABLE MENSUAL SOBRE VENTAS 10%"/>
    <m/>
    <n v="11.94"/>
    <n v="-11.94"/>
  </r>
  <r>
    <x v="2"/>
    <x v="2"/>
    <s v="10/02/2022"/>
    <x v="1"/>
    <s v="10/02/2022"/>
    <n v="8108"/>
    <s v="FAC. 4346 SERVICIOS POR ACTIVIDADES DE COMERCIO EX"/>
    <m/>
    <n v="190.03"/>
    <n v="-190.03"/>
  </r>
  <r>
    <x v="2"/>
    <x v="2"/>
    <s v="10/03/2022"/>
    <x v="2"/>
    <s v="10/02/2022"/>
    <n v="8264"/>
    <s v="FC#20982 TARIFA ANUAL NACIONAL AERONAUTICA HC-VCK"/>
    <m/>
    <n v="4.0999999999999996"/>
    <n v="-4.0999999999999996"/>
  </r>
  <r>
    <x v="2"/>
    <x v="2"/>
    <s v="10/03/2022"/>
    <x v="2"/>
    <s v="10/02/2022"/>
    <n v="8267"/>
    <s v="Factura de proveedores - Cancelación - PN099233675"/>
    <m/>
    <n v="-4.0999999999999996"/>
    <n v="4.0999999999999996"/>
  </r>
  <r>
    <x v="2"/>
    <x v="2"/>
    <s v="16/02/2022"/>
    <x v="1"/>
    <s v="16/02/2022"/>
    <n v="8113"/>
    <s v="FACT. 13564 HOTEL ORO VERDE HOSPEDAJE DIEGO SERRAN"/>
    <m/>
    <n v="1.65"/>
    <n v="-1.65"/>
  </r>
  <r>
    <x v="2"/>
    <x v="2"/>
    <s v="16/02/2022"/>
    <x v="1"/>
    <s v="16/02/2022"/>
    <n v="8114"/>
    <s v="FACT. 13564 HOTEL ORO VERDE HOSPEDAJE PAUL DEL CAS"/>
    <m/>
    <n v="3.3"/>
    <n v="-3.3"/>
  </r>
  <r>
    <x v="2"/>
    <x v="2"/>
    <s v="16/02/2022"/>
    <x v="1"/>
    <s v="16/02/2022"/>
    <n v="8115"/>
    <s v="FACT. 16335 HOTEL ORO VERDE HOSPEDAJE GUILLERMO RO"/>
    <m/>
    <n v="3.3"/>
    <n v="-3.3"/>
  </r>
  <r>
    <x v="2"/>
    <x v="2"/>
    <s v="21/02/2022"/>
    <x v="1"/>
    <s v="21/02/2022"/>
    <n v="8312"/>
    <s v="ND PAGO RETEN FTE ENERO 2022 SRI FORMULARIO 103"/>
    <n v="252.27"/>
    <m/>
    <n v="252.27"/>
  </r>
  <r>
    <x v="2"/>
    <x v="2"/>
    <s v="25/02/2022"/>
    <x v="1"/>
    <s v="25/02/2022"/>
    <n v="8262"/>
    <s v="FC#16547 HOTEL ORO VERDE HOSPEDAJE DIEGO SERRANO 2"/>
    <m/>
    <n v="3.3"/>
    <n v="-3.3"/>
  </r>
  <r>
    <x v="2"/>
    <x v="2"/>
    <s v="02/03/2022"/>
    <x v="2"/>
    <s v="02/03/2022"/>
    <n v="8285"/>
    <s v="FC#274770 INTERNET DEDICADO 5MB- MADIR-AEROPUERTO-"/>
    <m/>
    <n v="1.38"/>
    <n v="-1.38"/>
  </r>
  <r>
    <x v="2"/>
    <x v="2"/>
    <s v="04/04/2022"/>
    <x v="3"/>
    <s v="03/03/2022"/>
    <n v="8286"/>
    <s v="FC#21106 ARRIENDO DE ESPACIO AEROPUERTO G. LC:15-C"/>
    <m/>
    <n v="60.5"/>
    <n v="-60.5"/>
  </r>
  <r>
    <x v="2"/>
    <x v="2"/>
    <s v="04/03/2022"/>
    <x v="2"/>
    <s v="04/03/2022"/>
    <n v="8288"/>
    <s v="FC#1730 CARMIGNIANI PEREZ, SERVICIOS ADMINISTRATIV"/>
    <m/>
    <n v="0.31"/>
    <n v="-0.31"/>
  </r>
  <r>
    <x v="2"/>
    <x v="2"/>
    <s v="04/03/2022"/>
    <x v="2"/>
    <s v="04/03/2022"/>
    <n v="8289"/>
    <s v="FC#3454 HON. PROF.  LOCALES ENE-2022 PROFORMA 2180"/>
    <m/>
    <n v="11.92"/>
    <n v="-11.92"/>
  </r>
  <r>
    <x v="2"/>
    <x v="2"/>
    <s v="08/03/2022"/>
    <x v="2"/>
    <s v="08/03/2022"/>
    <n v="8290"/>
    <s v="FC#10085 HOSPEDAJE JAVIER QUISHPE DEL 07 AL 08 MAR"/>
    <m/>
    <n v="0.82"/>
    <n v="-0.82"/>
  </r>
  <r>
    <x v="2"/>
    <x v="2"/>
    <s v="08/03/2022"/>
    <x v="2"/>
    <s v="08/03/2022"/>
    <n v="8291"/>
    <s v="FC#178 SERVICIO DESINFECCION, FUMIGACION Y CONTROL"/>
    <m/>
    <n v="5.23"/>
    <n v="-5.23"/>
  </r>
  <r>
    <x v="2"/>
    <x v="2"/>
    <s v="08/04/2022"/>
    <x v="3"/>
    <s v="08/03/2022"/>
    <n v="8349"/>
    <s v="FC#21194 VARIABLE MENSUAL POR CONCESIÓN MERCANTIL"/>
    <m/>
    <n v="11.94"/>
    <n v="-11.94"/>
  </r>
  <r>
    <x v="2"/>
    <x v="2"/>
    <s v="09/03/2022"/>
    <x v="2"/>
    <s v="09/03/2022"/>
    <n v="8348"/>
    <s v="FC#1023 AUDITORIA A LOS ESTADOS FINANCIEROS AL 31/"/>
    <m/>
    <n v="11"/>
    <n v="-11"/>
  </r>
  <r>
    <x v="2"/>
    <x v="2"/>
    <s v="10/03/2022"/>
    <x v="2"/>
    <s v="10/03/2022"/>
    <n v="8351"/>
    <s v="FC#48 IMPLANTACION SISTEMA SEGURIDAD OPERACIONAL S"/>
    <m/>
    <n v="55"/>
    <n v="-55"/>
  </r>
  <r>
    <x v="2"/>
    <x v="2"/>
    <s v="14/03/2022"/>
    <x v="2"/>
    <s v="12/03/2022"/>
    <n v="8322"/>
    <s v="FC#8 SERVICIOS PROFESIONALES"/>
    <m/>
    <n v="13.63"/>
    <n v="-13.63"/>
  </r>
  <r>
    <x v="2"/>
    <x v="2"/>
    <s v="14/03/2022"/>
    <x v="2"/>
    <s v="14/03/2022"/>
    <n v="8321"/>
    <s v="FC#553 MTTO BELL 407, BELL 505 FEB-MAR/2022 - MTTO"/>
    <m/>
    <n v="16.5"/>
    <n v="-16.5"/>
  </r>
  <r>
    <x v="2"/>
    <x v="2"/>
    <s v="18/03/2022"/>
    <x v="2"/>
    <s v="18/03/2022"/>
    <n v="8334"/>
    <s v="FC#17254 HOTEL ORO VERDE HOSPEDAJE DIEGO SERRANO 1"/>
    <m/>
    <n v="1.65"/>
    <n v="-1.65"/>
  </r>
  <r>
    <x v="2"/>
    <x v="2"/>
    <s v="21/03/2022"/>
    <x v="2"/>
    <s v="21/03/2022"/>
    <n v="8369"/>
    <s v="ND PAGO RETENCION FUENTE FEBRERO 2022 SRI FORM 103"/>
    <n v="286.39999999999998"/>
    <m/>
    <n v="286.39999999999998"/>
  </r>
  <r>
    <x v="2"/>
    <x v="2"/>
    <s v="01/04/2022"/>
    <x v="3"/>
    <s v="01/04/2022"/>
    <n v="8407"/>
    <s v="FC#277640 INTERNET DEDICADO 5MB- MADIR-AEROPUERTO-"/>
    <m/>
    <n v="1.38"/>
    <n v="-1.38"/>
  </r>
  <r>
    <x v="2"/>
    <x v="2"/>
    <s v="01/04/2022"/>
    <x v="3"/>
    <s v="01/04/2022"/>
    <n v="8409"/>
    <s v="FC#17765 HOTEL ORO VERDE HOSPEDAJE PAUL DEL CASTIL"/>
    <m/>
    <n v="1.65"/>
    <n v="-1.65"/>
  </r>
  <r>
    <x v="2"/>
    <x v="2"/>
    <s v="01/04/2022"/>
    <x v="3"/>
    <s v="01/04/2022"/>
    <n v="8411"/>
    <s v="FC#17775 HOTEL ORO VERDE HOSPEDAJE GUILLERMO RODAS"/>
    <m/>
    <n v="1.65"/>
    <n v="-1.65"/>
  </r>
  <r>
    <x v="2"/>
    <x v="2"/>
    <s v="01/04/2022"/>
    <x v="3"/>
    <s v="01/04/2022"/>
    <n v="8477"/>
    <s v="FC#5516 GH &amp; PARKING MARZO 2022 ECUACENTAIR"/>
    <m/>
    <n v="70.13"/>
    <n v="-70.13"/>
  </r>
  <r>
    <x v="2"/>
    <x v="2"/>
    <s v="06/05/2022"/>
    <x v="4"/>
    <s v="06/04/2022"/>
    <n v="8474"/>
    <s v="FC#21369 ARRIENDO DE ESPACIO AEROPUERTO G. LC:15-C"/>
    <m/>
    <n v="60.5"/>
    <n v="-60.5"/>
  </r>
  <r>
    <x v="2"/>
    <x v="2"/>
    <s v="08/04/2022"/>
    <x v="3"/>
    <s v="08/04/2022"/>
    <n v="8417"/>
    <s v="FC#3525 HON. PROF. LOCALES FEB-2022 PROFORMA 21906"/>
    <m/>
    <n v="6.14"/>
    <n v="-6.14"/>
  </r>
  <r>
    <x v="2"/>
    <x v="2"/>
    <s v="08/04/2022"/>
    <x v="3"/>
    <s v="08/04/2022"/>
    <n v="8478"/>
    <s v="FC#5582 ATENCION VUEVLO 28/03/22 Y 08/04/2022  N24"/>
    <m/>
    <n v="16.47"/>
    <n v="-16.47"/>
  </r>
  <r>
    <x v="2"/>
    <x v="2"/>
    <s v="13/04/2022"/>
    <x v="3"/>
    <s v="13/04/2022"/>
    <n v="8418"/>
    <s v="FC#18145 HOTEL ORO VERDE HOSPEDAJE GUILLERMO RODAS"/>
    <m/>
    <n v="1.65"/>
    <n v="-1.65"/>
  </r>
  <r>
    <x v="2"/>
    <x v="2"/>
    <s v="13/04/2022"/>
    <x v="3"/>
    <s v="13/04/2022"/>
    <n v="8419"/>
    <s v="FC#18155 HOTEL ORO VERDE HOSPEDAJE PAUL DEL CASTIL"/>
    <m/>
    <n v="1.65"/>
    <n v="-1.65"/>
  </r>
  <r>
    <x v="2"/>
    <x v="2"/>
    <s v="13/04/2022"/>
    <x v="3"/>
    <s v="13/04/2022"/>
    <n v="8475"/>
    <s v="FC#18144 HOTEL ORO VERDE HOSPEDAJE GUILLERMO RODAS"/>
    <m/>
    <n v="1.65"/>
    <n v="-1.65"/>
  </r>
  <r>
    <x v="2"/>
    <x v="2"/>
    <s v="19/05/2022"/>
    <x v="4"/>
    <s v="19/04/2022"/>
    <n v="8420"/>
    <s v="FC#21565 VARIABLE MENSUAL POR CONCESIÓN MERCANTIL"/>
    <m/>
    <n v="11.94"/>
    <n v="-11.94"/>
  </r>
  <r>
    <x v="2"/>
    <x v="2"/>
    <s v="19/04/2022"/>
    <x v="3"/>
    <s v="19/04/2022"/>
    <n v="8479"/>
    <s v="FC#5639 ATENCION VUEVLO 11 Y 12 DE ABRIL  N245FH E"/>
    <m/>
    <n v="17.11"/>
    <n v="-17.11"/>
  </r>
  <r>
    <x v="2"/>
    <x v="2"/>
    <s v="19/04/2022"/>
    <x v="3"/>
    <s v="19/04/2022"/>
    <n v="8480"/>
    <s v="FC#5640 ATENCION VUELO 13 Y 15 DE ABRIL  N245FH EC"/>
    <m/>
    <n v="13.24"/>
    <n v="-13.24"/>
  </r>
  <r>
    <x v="2"/>
    <x v="2"/>
    <s v="19/04/2022"/>
    <x v="3"/>
    <s v="19/04/2022"/>
    <n v="8572"/>
    <s v="ND 26570501 PAGO RETENCIONES FUENTE MARZO 2022 SRI"/>
    <n v="189.86"/>
    <m/>
    <n v="189.86"/>
  </r>
  <r>
    <x v="2"/>
    <x v="2"/>
    <s v="21/04/2022"/>
    <x v="3"/>
    <s v="21/04/2022"/>
    <n v="8444"/>
    <s v="FC#3569 HON. PROF. LOCALES MAR-2022 PROFORMA 22024"/>
    <m/>
    <n v="1.28"/>
    <n v="-1.28"/>
  </r>
  <r>
    <x v="2"/>
    <x v="2"/>
    <s v="02/05/2022"/>
    <x v="4"/>
    <s v="01/05/2022"/>
    <n v="8521"/>
    <s v="FC#5229 GH &amp; PARKING DICIEMBRE 2021 ECUACENTAIR"/>
    <m/>
    <n v="70.13"/>
    <n v="-70.13"/>
  </r>
  <r>
    <x v="2"/>
    <x v="2"/>
    <s v="02/05/2022"/>
    <x v="4"/>
    <s v="01/05/2022"/>
    <n v="8522"/>
    <s v="FC#5230 GH &amp; PARKING ENERO 2022 ECUACENTAIR"/>
    <m/>
    <n v="70.13"/>
    <n v="-70.13"/>
  </r>
  <r>
    <x v="2"/>
    <x v="2"/>
    <s v="02/05/2022"/>
    <x v="4"/>
    <s v="01/05/2022"/>
    <n v="8523"/>
    <s v="FC#5304 GH &amp; PARKING FEBRERO 2022 N245FH ECUACENTA"/>
    <m/>
    <n v="70.13"/>
    <n v="-70.13"/>
  </r>
  <r>
    <x v="2"/>
    <x v="2"/>
    <s v="02/05/2022"/>
    <x v="4"/>
    <s v="01/05/2022"/>
    <n v="8524"/>
    <s v="FC#5719 GH &amp; PARKING ABRIL 2022 ECUACENTAIR"/>
    <m/>
    <n v="70.13"/>
    <n v="-70.13"/>
  </r>
  <r>
    <x v="2"/>
    <x v="2"/>
    <s v="02/05/2022"/>
    <x v="4"/>
    <s v="01/05/2022"/>
    <n v="8525"/>
    <s v="FC#5180 ATENCION VUELO 01/12/21 Y 03/02/2022  N245"/>
    <m/>
    <n v="14.05"/>
    <n v="-14.05"/>
  </r>
  <r>
    <x v="2"/>
    <x v="2"/>
    <s v="02/05/2022"/>
    <x v="4"/>
    <s v="01/05/2022"/>
    <n v="8526"/>
    <s v="FC#5228 ATENCION VUEVLO 06/02/22 Y 14/02/2022  N24"/>
    <m/>
    <n v="10.92"/>
    <n v="-10.92"/>
  </r>
  <r>
    <x v="2"/>
    <x v="2"/>
    <s v="02/05/2022"/>
    <x v="4"/>
    <s v="01/05/2022"/>
    <n v="8527"/>
    <s v="FC#5293 ATENCION VUEVLO 16/02/22 Y 25/02/2022  N24"/>
    <m/>
    <n v="7.51"/>
    <n v="-7.51"/>
  </r>
  <r>
    <x v="2"/>
    <x v="2"/>
    <s v="02/05/2022"/>
    <x v="4"/>
    <s v="01/05/2022"/>
    <n v="8528"/>
    <s v="FC#5367 ATENCION VUELO 01/03/22 Y 02/03/2022  N245"/>
    <m/>
    <n v="17.88"/>
    <n v="-17.88"/>
  </r>
  <r>
    <x v="2"/>
    <x v="2"/>
    <s v="02/05/2022"/>
    <x v="4"/>
    <s v="01/05/2022"/>
    <n v="8529"/>
    <s v="FC#5466 ATENCION VUEVLO 28/03/22 Y 08/04/2022  N24"/>
    <m/>
    <n v="15.46"/>
    <n v="-15.46"/>
  </r>
  <r>
    <x v="2"/>
    <x v="2"/>
    <s v="02/05/2022"/>
    <x v="4"/>
    <s v="01/05/2022"/>
    <n v="8530"/>
    <s v="Factura de proveedores - Cancelación - PN179243166"/>
    <m/>
    <n v="-14.05"/>
    <n v="14.05"/>
  </r>
  <r>
    <x v="2"/>
    <x v="2"/>
    <s v="02/05/2022"/>
    <x v="4"/>
    <s v="01/05/2022"/>
    <n v="8531"/>
    <s v="FC#5180 ATENCION VUELO 01/12/21 Y 03/02/2022  N245"/>
    <m/>
    <n v="14.05"/>
    <n v="-14.05"/>
  </r>
  <r>
    <x v="2"/>
    <x v="2"/>
    <s v="03/05/2022"/>
    <x v="4"/>
    <s v="03/05/2022"/>
    <n v="8486"/>
    <s v="FC#450260 LAARCOM SERVICIO MONITOREO HANGAR GYE MA"/>
    <m/>
    <n v="6.27"/>
    <n v="-6.27"/>
  </r>
  <r>
    <x v="2"/>
    <x v="2"/>
    <s v="03/05/2022"/>
    <x v="4"/>
    <s v="03/05/2022"/>
    <n v="8497"/>
    <s v="FC#280820 INTERNET DEDICADO 5MB- MADIR-AEROPUERTO-"/>
    <m/>
    <n v="1.38"/>
    <n v="-1.38"/>
  </r>
  <r>
    <x v="2"/>
    <x v="2"/>
    <s v="04/05/2022"/>
    <x v="4"/>
    <s v="04/05/2022"/>
    <n v="8467"/>
    <s v="FC#9665 TRABAJOS MTTO CAMBIO STRAP EN EL CVK"/>
    <m/>
    <n v="125.95"/>
    <n v="-125.95"/>
  </r>
  <r>
    <x v="2"/>
    <x v="2"/>
    <s v="06/06/2022"/>
    <x v="9"/>
    <s v="04/05/2022"/>
    <n v="8501"/>
    <s v="FC#21607 ARRIENDO DE ESPACIO AEROPUERTO G. LC:15-C"/>
    <m/>
    <n v="60.5"/>
    <n v="-60.5"/>
  </r>
  <r>
    <x v="2"/>
    <x v="2"/>
    <s v="16/06/2022"/>
    <x v="9"/>
    <s v="16/05/2022"/>
    <n v="8502"/>
    <s v="FC#71598 TRASLADO BELL 505 HC-CVK AL HANGAR AEROMA"/>
    <m/>
    <n v="2.75"/>
    <n v="-2.75"/>
  </r>
  <r>
    <x v="2"/>
    <x v="2"/>
    <s v="18/05/2022"/>
    <x v="4"/>
    <s v="18/05/2022"/>
    <n v="8613"/>
    <s v="FC#19347 HOTEL ORO VERDE HOSPEDAJE GUILLERMO RODAS"/>
    <m/>
    <n v="3.3"/>
    <n v="-3.3"/>
  </r>
  <r>
    <x v="2"/>
    <x v="2"/>
    <s v="20/06/2022"/>
    <x v="9"/>
    <s v="19/05/2022"/>
    <n v="8610"/>
    <s v="FC#21815 VARIABLE MENSUAL POR CONCESIÓN MERCANTIL"/>
    <m/>
    <n v="11.94"/>
    <n v="-11.94"/>
  </r>
  <r>
    <x v="2"/>
    <x v="2"/>
    <s v="19/05/2022"/>
    <x v="4"/>
    <s v="19/05/2022"/>
    <n v="8611"/>
    <s v="FC#19428 HOTEL ORO VERDE HOSPEDAJE GUILLERMO RODAS"/>
    <m/>
    <n v="1.65"/>
    <n v="-1.65"/>
  </r>
  <r>
    <x v="2"/>
    <x v="2"/>
    <s v="19/05/2022"/>
    <x v="4"/>
    <s v="19/05/2022"/>
    <n v="8661"/>
    <s v="ND 25372192 PAGO RETENCIONES FUENTE ABRIL 2022 FOR"/>
    <n v="206.44"/>
    <m/>
    <n v="206.44"/>
  </r>
  <r>
    <x v="2"/>
    <x v="2"/>
    <s v="20/05/2022"/>
    <x v="4"/>
    <s v="20/05/2022"/>
    <n v="8612"/>
    <s v="FC#19455 HOTEL ORO VERDE HOSPEDAJE GUILLERMO RODAS"/>
    <m/>
    <n v="1.65"/>
    <n v="-1.65"/>
  </r>
  <r>
    <x v="2"/>
    <x v="2"/>
    <s v="20/05/2022"/>
    <x v="4"/>
    <s v="20/05/2022"/>
    <n v="8615"/>
    <s v="FC#19444 HOTEL ORO VERDE HOSPEDAJE DIEGO SERRANO 1"/>
    <m/>
    <n v="8.25"/>
    <n v="-8.25"/>
  </r>
  <r>
    <x v="2"/>
    <x v="2"/>
    <s v="25/05/2022"/>
    <x v="4"/>
    <s v="25/05/2022"/>
    <n v="8614"/>
    <s v="FC#19560 HOTEL ORO VERDE HOSPEDAJE DIEGO SERRANO 2"/>
    <m/>
    <n v="3.3"/>
    <n v="-3.3"/>
  </r>
  <r>
    <x v="2"/>
    <x v="2"/>
    <s v="31/05/2022"/>
    <x v="4"/>
    <s v="31/05/2022"/>
    <n v="8678"/>
    <s v="FC#301 ASIS Y MTTO HC-CVK. HC-CXH, HC-CTD, HC-CVX"/>
    <m/>
    <n v="28.88"/>
    <n v="-28.88"/>
  </r>
  <r>
    <x v="2"/>
    <x v="2"/>
    <s v="01/06/2022"/>
    <x v="9"/>
    <s v="01/06/2022"/>
    <n v="8689"/>
    <s v="FC#19735 HOSPEDAJE 31 MAY/2022 DEL CASTILLO PAUL"/>
    <m/>
    <n v="1.69"/>
    <n v="-1.69"/>
  </r>
  <r>
    <x v="2"/>
    <x v="2"/>
    <s v="01/06/2022"/>
    <x v="9"/>
    <s v="01/06/2022"/>
    <n v="8690"/>
    <s v="FC#19794 HOSPEDAJE 31 MAY/2022 RODAS GUILLERMO"/>
    <m/>
    <n v="1.65"/>
    <n v="-1.65"/>
  </r>
  <r>
    <x v="2"/>
    <x v="2"/>
    <s v="01/06/2022"/>
    <x v="9"/>
    <s v="01/06/2022"/>
    <n v="8691"/>
    <s v="FC#19719 HOSPEDAJE 31 MAY/2022 SERRANO DIEGO"/>
    <m/>
    <n v="1.69"/>
    <n v="-1.69"/>
  </r>
  <r>
    <x v="2"/>
    <x v="2"/>
    <s v="01/06/2022"/>
    <x v="9"/>
    <s v="01/06/2022"/>
    <n v="8753"/>
    <s v="FC#5882 GH &amp; PARKING MAYO 2022 ECUACENTAIR"/>
    <m/>
    <n v="70.13"/>
    <n v="-70.13"/>
  </r>
  <r>
    <x v="2"/>
    <x v="2"/>
    <s v="02/06/2022"/>
    <x v="9"/>
    <s v="02/06/2022"/>
    <n v="8685"/>
    <s v="FC#5856 ATENCION VUEVLO 07/05/22 Y 31/05/2022  N24"/>
    <m/>
    <n v="19.829999999999998"/>
    <n v="-19.829999999999998"/>
  </r>
  <r>
    <x v="2"/>
    <x v="2"/>
    <s v="02/06/2022"/>
    <x v="9"/>
    <s v="02/06/2022"/>
    <n v="8754"/>
    <s v="FC#5898 ATENCION VUELO 01/06/26 Y 02/06/2022  N245"/>
    <m/>
    <n v="13.22"/>
    <n v="-13.22"/>
  </r>
  <r>
    <x v="2"/>
    <x v="2"/>
    <s v="06/06/2022"/>
    <x v="9"/>
    <s v="06/06/2022"/>
    <n v="8686"/>
    <s v="FC#284449 INTERNET DEDICADO 5MB- MADIR-AEROPUERTO-"/>
    <m/>
    <n v="2.06"/>
    <n v="-2.06"/>
  </r>
  <r>
    <x v="2"/>
    <x v="2"/>
    <s v="06/07/2022"/>
    <x v="5"/>
    <s v="06/06/2022"/>
    <n v="8687"/>
    <s v="FC#21837 ARRIENDO DE ESPACIO AEROPUERTO G. LC:15-C"/>
    <m/>
    <n v="60.5"/>
    <n v="-60.5"/>
  </r>
  <r>
    <x v="2"/>
    <x v="2"/>
    <s v="07/06/2022"/>
    <x v="9"/>
    <s v="07/06/2022"/>
    <n v="8700"/>
    <s v="FC#16 HOSPEDAJE 28/05/22 SR.MARCO FARFAN"/>
    <m/>
    <n v="1.1000000000000001"/>
    <n v="-1.1000000000000001"/>
  </r>
  <r>
    <x v="2"/>
    <x v="2"/>
    <s v="18/07/2022"/>
    <x v="5"/>
    <s v="17/06/2022"/>
    <n v="8751"/>
    <s v="FC#22068 VARIABLE MENSUAL POR CONCESIÓN MERCANTIL"/>
    <m/>
    <n v="12.35"/>
    <n v="-12.35"/>
  </r>
  <r>
    <x v="2"/>
    <x v="2"/>
    <s v="21/06/2022"/>
    <x v="9"/>
    <s v="21/06/2022"/>
    <n v="8886"/>
    <s v="ND PAGO RETENCIONES FUENTE MAYO SRI FORM 103"/>
    <n v="602.16"/>
    <m/>
    <n v="602.16"/>
  </r>
  <r>
    <x v="2"/>
    <x v="2"/>
    <s v="30/06/2022"/>
    <x v="9"/>
    <s v="30/06/2022"/>
    <n v="8773"/>
    <s v="FC#303 ASIS Y MTTO HC-CVK. HC-CXH, HC-CTD, HC-CVX"/>
    <m/>
    <n v="44.28"/>
    <n v="-44.28"/>
  </r>
  <r>
    <x v="2"/>
    <x v="2"/>
    <s v="01/07/2022"/>
    <x v="5"/>
    <s v="01/07/2022"/>
    <n v="8794"/>
    <s v="FC#286625 INTERNET DEDICADO 5MB- MADIR-AEROPUERTO-"/>
    <m/>
    <n v="2.06"/>
    <n v="-2.06"/>
  </r>
  <r>
    <x v="2"/>
    <x v="2"/>
    <s v="01/07/2022"/>
    <x v="5"/>
    <s v="01/07/2022"/>
    <n v="8816"/>
    <s v="FC#532 ATENCION VUELO 27/12/2021 N751SJ ECUACENTAI"/>
    <m/>
    <n v="17.18"/>
    <n v="-17.18"/>
  </r>
  <r>
    <x v="2"/>
    <x v="2"/>
    <s v="01/07/2022"/>
    <x v="5"/>
    <s v="01/07/2022"/>
    <n v="8817"/>
    <s v="FC#4951 PARKING HANGAR HCCVK  10 Y 11 DICIEMBRE EC"/>
    <m/>
    <n v="1.65"/>
    <n v="-1.65"/>
  </r>
  <r>
    <x v="2"/>
    <x v="2"/>
    <s v="01/07/2022"/>
    <x v="5"/>
    <s v="01/07/2022"/>
    <n v="8818"/>
    <s v="FC#4953 ATENCION VUEVLO 26/12/21  N245FH ECUACENTA"/>
    <m/>
    <n v="47.16"/>
    <n v="-47.16"/>
  </r>
  <r>
    <x v="2"/>
    <x v="2"/>
    <s v="01/07/2022"/>
    <x v="5"/>
    <s v="01/07/2022"/>
    <n v="8819"/>
    <s v="FC#4955 ATENCION VUELO DEL 26/12/21 AL 27/12/21 N7"/>
    <m/>
    <n v="25.66"/>
    <n v="-25.66"/>
  </r>
  <r>
    <x v="2"/>
    <x v="2"/>
    <s v="01/07/2022"/>
    <x v="5"/>
    <s v="01/07/2022"/>
    <n v="8820"/>
    <s v="FC#4978 ATENCION VUELO 02/01/22 AL 03/01/22 N751SJ"/>
    <m/>
    <n v="47.3"/>
    <n v="-47.3"/>
  </r>
  <r>
    <x v="2"/>
    <x v="2"/>
    <s v="01/07/2022"/>
    <x v="5"/>
    <s v="01/07/2022"/>
    <n v="8821"/>
    <s v="FC#4993 ATENCION VUELO 05/01/2022 N751SJ ECUACENTA"/>
    <m/>
    <n v="67.41"/>
    <n v="-67.41"/>
  </r>
  <r>
    <x v="2"/>
    <x v="2"/>
    <s v="01/07/2022"/>
    <x v="5"/>
    <s v="01/07/2022"/>
    <n v="8822"/>
    <s v="FC#532 ATENCION VUELO 15/11/21-10/12/21-02/01/22 H"/>
    <m/>
    <n v="14.82"/>
    <n v="-14.82"/>
  </r>
  <r>
    <x v="2"/>
    <x v="2"/>
    <s v="01/07/2022"/>
    <x v="5"/>
    <s v="01/07/2022"/>
    <n v="8823"/>
    <s v="FC#53 ALCANCE FC#32 ATENCION VUELO 27/12/2021 N751"/>
    <m/>
    <n v="0.55000000000000004"/>
    <n v="-0.55000000000000004"/>
  </r>
  <r>
    <x v="2"/>
    <x v="2"/>
    <s v="01/07/2022"/>
    <x v="5"/>
    <s v="01/07/2022"/>
    <n v="8824"/>
    <s v="FC#54 ATENCION VUELO 14/02/2022 - 16/02/2022 N245F"/>
    <m/>
    <n v="10.62"/>
    <n v="-10.62"/>
  </r>
  <r>
    <x v="2"/>
    <x v="2"/>
    <s v="01/07/2022"/>
    <x v="5"/>
    <s v="01/07/2022"/>
    <n v="8825"/>
    <s v="FC#63 ATENCION VUELO 25/02/2022 N245FH ECUACENTAIR"/>
    <m/>
    <n v="15.63"/>
    <n v="-15.63"/>
  </r>
  <r>
    <x v="2"/>
    <x v="2"/>
    <s v="01/07/2022"/>
    <x v="5"/>
    <s v="01/07/2022"/>
    <n v="8826"/>
    <s v="FC#5264 ATENCION VUELO 18/02/2022 - 20/02/2022 HCC"/>
    <m/>
    <n v="5.2"/>
    <n v="-5.2"/>
  </r>
  <r>
    <x v="2"/>
    <x v="2"/>
    <s v="01/07/2022"/>
    <x v="5"/>
    <s v="01/07/2022"/>
    <n v="8827"/>
    <s v="FC#5265 ATENCION VUELO 20/02/2022 - 21/02/2022 HCC"/>
    <m/>
    <n v="4.59"/>
    <n v="-4.59"/>
  </r>
  <r>
    <x v="2"/>
    <x v="2"/>
    <s v="01/07/2022"/>
    <x v="5"/>
    <s v="01/07/2022"/>
    <n v="8828"/>
    <s v="FC#5303 PARKING HANGAR FBO FEBRERO ECUACENTAIR"/>
    <m/>
    <n v="4.95"/>
    <n v="-4.95"/>
  </r>
  <r>
    <x v="2"/>
    <x v="2"/>
    <s v="01/07/2022"/>
    <x v="5"/>
    <s v="01/07/2022"/>
    <n v="8829"/>
    <s v="FC#82 ATENCION VUELO 27/03/2022 - 28/03/2022 N245F"/>
    <m/>
    <n v="9.8800000000000008"/>
    <n v="-9.8800000000000008"/>
  </r>
  <r>
    <x v="2"/>
    <x v="2"/>
    <s v="01/07/2022"/>
    <x v="5"/>
    <s v="01/07/2022"/>
    <n v="8830"/>
    <s v="FC#90 ATENCION VUELO 12/04/2022 - 13/04/2022 N245F"/>
    <m/>
    <n v="10.32"/>
    <n v="-10.32"/>
  </r>
  <r>
    <x v="2"/>
    <x v="2"/>
    <s v="01/07/2022"/>
    <x v="5"/>
    <s v="01/07/2022"/>
    <n v="8831"/>
    <s v="FC#108 ATENCION VUELO 31/05/2022 - 01/06/2022 N245"/>
    <m/>
    <n v="10.3"/>
    <n v="-10.3"/>
  </r>
  <r>
    <x v="2"/>
    <x v="2"/>
    <s v="01/07/2022"/>
    <x v="5"/>
    <s v="01/07/2022"/>
    <n v="8832"/>
    <s v="FC#5871 DESPACHO 18/08/22 Y 31/05/22 HCCVK"/>
    <m/>
    <n v="5.78"/>
    <n v="-5.78"/>
  </r>
  <r>
    <x v="2"/>
    <x v="2"/>
    <s v="01/07/2022"/>
    <x v="5"/>
    <s v="01/07/2022"/>
    <n v="8833"/>
    <s v="FC#5987 ATENCION VUELO 12/06/2022 - 17/06/2022 N24"/>
    <m/>
    <n v="15.66"/>
    <n v="-15.66"/>
  </r>
  <r>
    <x v="2"/>
    <x v="2"/>
    <s v="01/07/2022"/>
    <x v="5"/>
    <s v="01/07/2022"/>
    <n v="8834"/>
    <s v="FC#5871 DESPACHO 01/06/22 HCCVK"/>
    <m/>
    <n v="3.85"/>
    <n v="-3.85"/>
  </r>
  <r>
    <x v="2"/>
    <x v="2"/>
    <s v="01/07/2022"/>
    <x v="5"/>
    <s v="01/07/2022"/>
    <n v="8835"/>
    <s v="FC#6188 GH &amp; PARKING JUNIO 2022 ECUACENTAIR"/>
    <m/>
    <n v="70.13"/>
    <n v="-70.13"/>
  </r>
  <r>
    <x v="2"/>
    <x v="2"/>
    <s v="01/07/2022"/>
    <x v="5"/>
    <s v="01/07/2022"/>
    <n v="9014"/>
    <s v="Factura de proveedores - Cancelación - PN179243166"/>
    <m/>
    <n v="-10.32"/>
    <n v="10.32"/>
  </r>
  <r>
    <x v="2"/>
    <x v="2"/>
    <s v="01/07/2022"/>
    <x v="5"/>
    <s v="01/07/2022"/>
    <n v="9015"/>
    <s v="Factura de proveedores - Cancelación - PN179243166"/>
    <m/>
    <n v="-15.63"/>
    <n v="15.63"/>
  </r>
  <r>
    <x v="2"/>
    <x v="2"/>
    <s v="01/07/2022"/>
    <x v="5"/>
    <s v="01/07/2022"/>
    <n v="9016"/>
    <s v="Factura de proveedores - Cancelación - PN179243166"/>
    <m/>
    <n v="-9.8800000000000008"/>
    <n v="9.8800000000000008"/>
  </r>
  <r>
    <x v="2"/>
    <x v="2"/>
    <s v="01/07/2022"/>
    <x v="5"/>
    <s v="01/07/2022"/>
    <n v="9017"/>
    <s v="FC#82 ATENCION VUELO 27/03/2022 - 28/03/2022 N245F"/>
    <m/>
    <n v="9.8800000000000008"/>
    <n v="-9.8800000000000008"/>
  </r>
  <r>
    <x v="2"/>
    <x v="2"/>
    <s v="01/07/2022"/>
    <x v="5"/>
    <s v="01/07/2022"/>
    <n v="9018"/>
    <s v="FC#90 ATENCION VUELO 12/04/2022 - 13/04/2022 N245F"/>
    <m/>
    <n v="10.32"/>
    <n v="-10.32"/>
  </r>
  <r>
    <x v="2"/>
    <x v="2"/>
    <s v="01/07/2022"/>
    <x v="5"/>
    <s v="01/07/2022"/>
    <n v="9019"/>
    <s v="FC#63 ATENCION VUELO 25/02/2022 N245FH ECUACENTAIR"/>
    <m/>
    <n v="15.63"/>
    <n v="-15.63"/>
  </r>
  <r>
    <x v="2"/>
    <x v="2"/>
    <s v="01/07/2022"/>
    <x v="5"/>
    <s v="01/07/2022"/>
    <n v="9020"/>
    <s v="Factura de proveedores - Cancelación - PN179243166"/>
    <m/>
    <n v="-15.63"/>
    <n v="15.63"/>
  </r>
  <r>
    <x v="2"/>
    <x v="2"/>
    <s v="01/07/2022"/>
    <x v="5"/>
    <s v="01/07/2022"/>
    <n v="9021"/>
    <s v="FC#63 ATENCION VUELO 25/02/2022 N245FH ECUACENTAIR"/>
    <m/>
    <n v="15.63"/>
    <n v="-15.63"/>
  </r>
  <r>
    <x v="2"/>
    <x v="2"/>
    <s v="01/07/2022"/>
    <x v="5"/>
    <s v="01/07/2022"/>
    <n v="9022"/>
    <s v="Factura de proveedores - Cancelación - PN179243166"/>
    <m/>
    <n v="-9.8800000000000008"/>
    <n v="9.8800000000000008"/>
  </r>
  <r>
    <x v="2"/>
    <x v="2"/>
    <s v="01/07/2022"/>
    <x v="5"/>
    <s v="01/07/2022"/>
    <n v="9023"/>
    <s v="FC#82 ATENCION VUELO 27/03/2022 - 28/03/2022 N245F"/>
    <m/>
    <n v="9.8800000000000008"/>
    <n v="-9.8800000000000008"/>
  </r>
  <r>
    <x v="2"/>
    <x v="2"/>
    <s v="01/07/2022"/>
    <x v="5"/>
    <s v="01/07/2022"/>
    <n v="9024"/>
    <s v="Factura de proveedores - Cancelación - PN179243166"/>
    <m/>
    <n v="-10.32"/>
    <n v="10.32"/>
  </r>
  <r>
    <x v="2"/>
    <x v="2"/>
    <s v="01/07/2022"/>
    <x v="5"/>
    <s v="01/07/2022"/>
    <n v="9025"/>
    <s v="FC#90 ATENCION VUELO 12/04/2022 - 13/04/2022 N245F"/>
    <m/>
    <n v="10.32"/>
    <n v="-10.32"/>
  </r>
  <r>
    <x v="2"/>
    <x v="2"/>
    <s v="04/08/2022"/>
    <x v="6"/>
    <s v="04/07/2022"/>
    <n v="8815"/>
    <s v="FC#22085 ARRIENDO DE ESPACIO AEROPUERTO G. LC:15-C"/>
    <m/>
    <n v="60.5"/>
    <n v="-60.5"/>
  </r>
  <r>
    <x v="2"/>
    <x v="2"/>
    <s v="06/07/2022"/>
    <x v="5"/>
    <s v="06/07/2022"/>
    <n v="8968"/>
    <s v="FC#803942 TRAMITE COURIER IMPORTACION FILTROS"/>
    <m/>
    <n v="4"/>
    <n v="-4"/>
  </r>
  <r>
    <x v="2"/>
    <x v="2"/>
    <s v="07/07/2022"/>
    <x v="5"/>
    <s v="07/07/2022"/>
    <n v="8868"/>
    <s v="FC#20820 HOSPEDAJE 05 JUL 2022 SERRANO DIEGO"/>
    <m/>
    <n v="3.3"/>
    <n v="-3.3"/>
  </r>
  <r>
    <x v="2"/>
    <x v="2"/>
    <s v="11/07/2022"/>
    <x v="5"/>
    <s v="09/07/2022"/>
    <n v="8806"/>
    <s v="FC#20908 HOSPEDAJE ORO VERDE DEL 04/07 AL 09/07 RO"/>
    <m/>
    <n v="8.25"/>
    <n v="-8.25"/>
  </r>
  <r>
    <x v="2"/>
    <x v="2"/>
    <s v="11/08/2022"/>
    <x v="6"/>
    <s v="11/07/2022"/>
    <n v="8804"/>
    <s v="FC#22288 VARIABLE MENSUAL POR CONCESIÓN MERCANTIL"/>
    <m/>
    <n v="12.9"/>
    <n v="-12.9"/>
  </r>
  <r>
    <x v="2"/>
    <x v="2"/>
    <s v="19/07/2022"/>
    <x v="5"/>
    <s v="19/07/2022"/>
    <n v="8956"/>
    <s v="ND PAGO RETEN FTE JUNIO 2022 FORM 103 SRI"/>
    <n v="32"/>
    <m/>
    <n v="32"/>
  </r>
  <r>
    <x v="2"/>
    <x v="2"/>
    <s v="19/07/2022"/>
    <x v="5"/>
    <s v="19/07/2022"/>
    <n v="8986"/>
    <s v="ND PAGO RETEN FTE JUNIO 2022 FORM 103 SRI(Anulació"/>
    <n v="-32"/>
    <m/>
    <n v="-32"/>
  </r>
  <r>
    <x v="2"/>
    <x v="2"/>
    <s v="19/07/2022"/>
    <x v="5"/>
    <s v="19/07/2022"/>
    <n v="8987"/>
    <s v="ND PAGO RETEN FTE JUNIO 2022 FORM 103 SRI"/>
    <n v="228.52"/>
    <m/>
    <n v="228.52"/>
  </r>
  <r>
    <x v="2"/>
    <x v="2"/>
    <s v="21/07/2022"/>
    <x v="5"/>
    <s v="21/07/2022"/>
    <n v="8836"/>
    <s v="FC#6286 GH &amp; PARKING FEBRERO 2022 N585T ECUACENTAI"/>
    <m/>
    <n v="75.63"/>
    <n v="-75.63"/>
  </r>
  <r>
    <x v="2"/>
    <x v="2"/>
    <s v="21/07/2022"/>
    <x v="5"/>
    <s v="21/07/2022"/>
    <n v="8837"/>
    <s v="FC#6287 ATENCION VUELO 29 AGO - 01 SEP N245FH ECUA"/>
    <m/>
    <n v="0.98"/>
    <n v="-0.98"/>
  </r>
  <r>
    <x v="2"/>
    <x v="2"/>
    <s v="21/07/2022"/>
    <x v="5"/>
    <s v="21/07/2022"/>
    <n v="8838"/>
    <s v="FC#6288 ATENCION VUELO 28 SEP - 08 OCT N245FH ECUA"/>
    <m/>
    <n v="15.37"/>
    <n v="-15.37"/>
  </r>
  <r>
    <x v="2"/>
    <x v="2"/>
    <s v="21/07/2022"/>
    <x v="5"/>
    <s v="21/07/2022"/>
    <n v="8839"/>
    <s v="FC#6289 ATENCION VUELO 11/10/21 - 13/10/21 N245FH"/>
    <m/>
    <n v="6.88"/>
    <n v="-6.88"/>
  </r>
  <r>
    <x v="2"/>
    <x v="2"/>
    <s v="21/07/2022"/>
    <x v="5"/>
    <s v="21/07/2022"/>
    <n v="8840"/>
    <s v="FC#6290 ATENCION VUELO 14/10/21 - 21/10/21 N245FH"/>
    <m/>
    <n v="5.46"/>
    <n v="-5.46"/>
  </r>
  <r>
    <x v="2"/>
    <x v="2"/>
    <s v="21/07/2022"/>
    <x v="5"/>
    <s v="21/07/2022"/>
    <n v="8841"/>
    <s v="FC#6294 PARKING HANGAR FBO NOVIEMBRE HCCVK ECUACEN"/>
    <m/>
    <n v="19.8"/>
    <n v="-19.8"/>
  </r>
  <r>
    <x v="2"/>
    <x v="2"/>
    <s v="21/07/2022"/>
    <x v="5"/>
    <s v="21/07/2022"/>
    <n v="8842"/>
    <s v="FC#6295 PARKING HANGAR HCCVK  01 AL 08 DICIEMBRE E"/>
    <m/>
    <n v="13.2"/>
    <n v="-13.2"/>
  </r>
  <r>
    <x v="2"/>
    <x v="2"/>
    <s v="21/07/2022"/>
    <x v="5"/>
    <s v="21/07/2022"/>
    <n v="8843"/>
    <s v="FC#120 ATENCION VUELO 13/10/2021 - 14/10/2021 N245"/>
    <m/>
    <n v="10.18"/>
    <n v="-10.18"/>
  </r>
  <r>
    <x v="2"/>
    <x v="2"/>
    <s v="21/07/2022"/>
    <x v="5"/>
    <s v="21/07/2022"/>
    <n v="8844"/>
    <s v="FC#121 ATENCION VUELO 21/10/2021  N245FH ECUACENTA"/>
    <m/>
    <n v="21.17"/>
    <n v="-21.17"/>
  </r>
  <r>
    <x v="2"/>
    <x v="2"/>
    <s v="21/07/2022"/>
    <x v="5"/>
    <s v="21/07/2022"/>
    <n v="8845"/>
    <s v="FC#122 ATENCION VUELO 29/10/2021 N245FH ECUACENTAI"/>
    <m/>
    <n v="15.79"/>
    <n v="-15.79"/>
  </r>
  <r>
    <x v="2"/>
    <x v="2"/>
    <s v="21/07/2022"/>
    <x v="5"/>
    <s v="21/07/2022"/>
    <n v="8974"/>
    <s v="Factura de proveedores - Cancelación - PN179243166"/>
    <m/>
    <n v="-15.79"/>
    <n v="15.79"/>
  </r>
  <r>
    <x v="2"/>
    <x v="2"/>
    <s v="26/07/2022"/>
    <x v="5"/>
    <s v="26/07/2022"/>
    <n v="8796"/>
    <s v="FC#2165 CHEQUEO HELICOPTERO HC-CVK, PRUEBA ALTIMET"/>
    <m/>
    <n v="15.65"/>
    <n v="-15.65"/>
  </r>
  <r>
    <x v="2"/>
    <x v="2"/>
    <s v="26/07/2022"/>
    <x v="5"/>
    <s v="26/07/2022"/>
    <n v="8797"/>
    <s v="Factura de proveedores - Cancelación - PN176801433"/>
    <m/>
    <n v="-15.65"/>
    <n v="15.65"/>
  </r>
  <r>
    <x v="2"/>
    <x v="2"/>
    <s v="01/08/2022"/>
    <x v="6"/>
    <s v="30/07/2022"/>
    <n v="8938"/>
    <s v="FC#305 LIMP Y MTTO HC-CVK. HC-CXH, HC-CTD"/>
    <m/>
    <n v="36.58"/>
    <n v="-36.58"/>
  </r>
  <r>
    <x v="2"/>
    <x v="2"/>
    <s v="01/08/2022"/>
    <x v="6"/>
    <s v="01/08/2022"/>
    <n v="9012"/>
    <s v="FC#289596 INTERNET DEDICADO 5MB- MADIR-AEROPUERTO-"/>
    <m/>
    <n v="2.06"/>
    <n v="-2.06"/>
  </r>
  <r>
    <x v="2"/>
    <x v="2"/>
    <s v="01/08/2022"/>
    <x v="6"/>
    <s v="01/08/2022"/>
    <n v="9029"/>
    <s v="FC#6337 ATENCION VUELO 24/07/2022 - 29/07/2022 N24"/>
    <m/>
    <n v="16.41"/>
    <n v="-16.41"/>
  </r>
  <r>
    <x v="2"/>
    <x v="2"/>
    <s v="05/09/2022"/>
    <x v="7"/>
    <s v="03/08/2022"/>
    <n v="9011"/>
    <s v="FC#22350 ARRIENDO DE ESPACIO AEROPUERTO G. LC:15-C"/>
    <m/>
    <n v="60.5"/>
    <n v="-60.5"/>
  </r>
  <r>
    <x v="2"/>
    <x v="2"/>
    <s v="03/08/2022"/>
    <x v="6"/>
    <s v="03/08/2022"/>
    <n v="9030"/>
    <s v="FC#6389 ATENCION VUELO 03/08/2022 N245FH ECUACENTA"/>
    <m/>
    <n v="2.12"/>
    <n v="-2.12"/>
  </r>
  <r>
    <x v="2"/>
    <x v="2"/>
    <s v="03/08/2022"/>
    <x v="6"/>
    <s v="03/08/2022"/>
    <n v="9031"/>
    <s v="FC#6383 ATENCION VUELO 02/08/2022 - 03/08/2022 N24"/>
    <m/>
    <n v="7.97"/>
    <n v="-7.97"/>
  </r>
  <r>
    <x v="2"/>
    <x v="2"/>
    <s v="08/08/2022"/>
    <x v="6"/>
    <s v="08/08/2022"/>
    <n v="9144"/>
    <s v="FC#33 HOSPEDAJE DEL 21 AL 24 JUL/2022 SR.MARCO FAR"/>
    <m/>
    <n v="4.13"/>
    <n v="-4.13"/>
  </r>
  <r>
    <x v="2"/>
    <x v="2"/>
    <s v="09/08/2022"/>
    <x v="6"/>
    <s v="09/08/2022"/>
    <n v="9101"/>
    <s v="FC#6426 ATENCION VUELO 03/08/2022 - 09/08/2022 N24"/>
    <m/>
    <n v="13.85"/>
    <n v="-13.85"/>
  </r>
  <r>
    <x v="2"/>
    <x v="2"/>
    <s v="19/09/2022"/>
    <x v="7"/>
    <s v="18/08/2022"/>
    <n v="9010"/>
    <s v="FC#22583 VARIABLE MENSUAL POR CONCESIÓN MERCANTIL"/>
    <m/>
    <n v="17.16"/>
    <n v="-17.16"/>
  </r>
  <r>
    <x v="2"/>
    <x v="2"/>
    <s v="18/08/2022"/>
    <x v="6"/>
    <s v="18/08/2022"/>
    <n v="9028"/>
    <s v="FC#22413 HOSPEDAJE ORO VERDE 17/08/2022 CARVAJAL S"/>
    <m/>
    <n v="1.65"/>
    <n v="-1.65"/>
  </r>
  <r>
    <x v="2"/>
    <x v="2"/>
    <s v="19/08/2022"/>
    <x v="6"/>
    <s v="19/08/2022"/>
    <n v="9102"/>
    <s v="FC#22451 HOSPEDAJE 18 AGO 2022 SERRANO DIEGO"/>
    <m/>
    <n v="1.69"/>
    <n v="-1.69"/>
  </r>
  <r>
    <x v="2"/>
    <x v="2"/>
    <s v="19/08/2022"/>
    <x v="6"/>
    <s v="19/08/2022"/>
    <n v="9103"/>
    <s v="FC#22492 HOSPEDAJE 18 AGO 2022 BENAVIDES XIMENA"/>
    <m/>
    <n v="1.65"/>
    <n v="-1.65"/>
  </r>
  <r>
    <x v="2"/>
    <x v="2"/>
    <s v="19/08/2022"/>
    <x v="6"/>
    <s v="19/08/2022"/>
    <n v="9152"/>
    <s v="ND PAGO RETENCIONES FUENTE JULIO 2022 SRI FORM 103"/>
    <n v="684.9"/>
    <m/>
    <n v="684.9"/>
  </r>
  <r>
    <x v="2"/>
    <x v="2"/>
    <s v="01/09/2022"/>
    <x v="7"/>
    <s v="01/09/2022"/>
    <n v="9174"/>
    <s v="FC#292595 INTERNET DEDICADO 5MB- MADIR-AEROPUERTO-"/>
    <m/>
    <n v="2.06"/>
    <n v="-2.06"/>
  </r>
  <r>
    <x v="2"/>
    <x v="2"/>
    <s v="05/10/2022"/>
    <x v="8"/>
    <s v="05/09/2022"/>
    <n v="9175"/>
    <s v="FC#22738 ARRIENDO DE ESPACIO AEROPUERTO G. LC:15-C"/>
    <m/>
    <n v="60.5"/>
    <n v="-60.5"/>
  </r>
  <r>
    <x v="2"/>
    <x v="2"/>
    <s v="06/09/2022"/>
    <x v="7"/>
    <s v="06/09/2022"/>
    <n v="9265"/>
    <s v="FC#6587 ATENCION VUELO 28/08/2022 - 06/09/2022 N24"/>
    <m/>
    <n v="8.17"/>
    <n v="-8.17"/>
  </r>
  <r>
    <x v="2"/>
    <x v="2"/>
    <s v="07/09/2022"/>
    <x v="7"/>
    <s v="07/09/2022"/>
    <n v="9179"/>
    <s v="FC#23216 HOSPEDAJE 05-06 SEP 2022 BENAVIDES XIMENA"/>
    <m/>
    <n v="3.3"/>
    <n v="-3.3"/>
  </r>
  <r>
    <x v="2"/>
    <x v="2"/>
    <s v="08/09/2022"/>
    <x v="7"/>
    <s v="08/09/2022"/>
    <n v="9180"/>
    <s v="FC#23256 HOSPEDAJE 05-06-07 SEP 2022 SERRANO DIEGO"/>
    <m/>
    <n v="4.95"/>
    <n v="-4.95"/>
  </r>
  <r>
    <x v="2"/>
    <x v="2"/>
    <s v="08/09/2022"/>
    <x v="7"/>
    <s v="08/09/2022"/>
    <n v="9181"/>
    <s v="FC#23260 HOSPEDAJE 06-07 SEP 2022 RODAS GUILLERMO"/>
    <m/>
    <n v="3.3"/>
    <n v="-3.3"/>
  </r>
  <r>
    <x v="2"/>
    <x v="2"/>
    <s v="08/09/2022"/>
    <x v="7"/>
    <s v="08/09/2022"/>
    <n v="9182"/>
    <s v="FC#23270 HOSPEDAJE 06-07 SEP 2022 DEL CASTILLO PAU"/>
    <m/>
    <n v="3.3"/>
    <n v="-3.3"/>
  </r>
  <r>
    <x v="2"/>
    <x v="2"/>
    <s v="15/09/2022"/>
    <x v="7"/>
    <s v="15/09/2022"/>
    <n v="9260"/>
    <s v="FC#3945 HON. PROF. LOCALES JUL-2022 PROFORMA 22469"/>
    <m/>
    <n v="1.74"/>
    <n v="-1.74"/>
  </r>
  <r>
    <x v="2"/>
    <x v="2"/>
    <s v="20/09/2022"/>
    <x v="7"/>
    <s v="20/09/2022"/>
    <n v="9284"/>
    <s v="ND 29962985 PAGO RETEN FTE AGOSTO 2022 SRI FORM 10"/>
    <n v="129.19"/>
    <m/>
    <n v="129.19"/>
  </r>
  <r>
    <x v="2"/>
    <x v="2"/>
    <s v="22/09/2022"/>
    <x v="7"/>
    <s v="22/09/2022"/>
    <n v="9264"/>
    <s v="FC#704 ATENCION VUELO 08/09/2022 - 22/09/2022 N245"/>
    <m/>
    <n v="8.0399999999999991"/>
    <n v="-8.0399999999999991"/>
  </r>
  <r>
    <x v="2"/>
    <x v="2"/>
    <s v="31/10/2022"/>
    <x v="8"/>
    <s v="29/09/2022"/>
    <n v="9271"/>
    <s v="FC#22864 VARIABLE MENSUAL POR CONCESIÓN MERCANTIL"/>
    <m/>
    <n v="17.16"/>
    <n v="-17.16"/>
  </r>
  <r>
    <x v="2"/>
    <x v="2"/>
    <s v="03/10/2022"/>
    <x v="8"/>
    <s v="03/10/2022"/>
    <n v="9296"/>
    <s v="FC#295815 INTERNET DEDICADO 5MB- MADIR-AEROPUERTO-"/>
    <m/>
    <n v="2.06"/>
    <n v="-2.06"/>
  </r>
  <r>
    <x v="2"/>
    <x v="2"/>
    <s v="07/11/2022"/>
    <x v="0"/>
    <s v="05/10/2022"/>
    <n v="9372"/>
    <s v="FC#22893 ARRIENDO DE ESPACIO AEROPUERTO G. LC:15-C"/>
    <m/>
    <n v="60.5"/>
    <n v="-60.5"/>
  </r>
  <r>
    <x v="2"/>
    <x v="2"/>
    <s v="19/10/2022"/>
    <x v="8"/>
    <s v="19/10/2022"/>
    <n v="9424"/>
    <s v="ND 30480126 PAGO RETEN FUENTE SEP 2022 SRI FORM 10"/>
    <n v="112.52"/>
    <m/>
    <n v="112.52"/>
  </r>
  <r>
    <x v="2"/>
    <x v="2"/>
    <s v="21/11/2022"/>
    <x v="0"/>
    <s v="20/10/2022"/>
    <n v="9363"/>
    <s v="FC#23103 VARIABLE MENSUAL POR CONCESIÓN MERCANTIL"/>
    <m/>
    <n v="17.16"/>
    <n v="-17.16"/>
  </r>
  <r>
    <x v="3"/>
    <x v="3"/>
    <n v="2021"/>
    <x v="0"/>
    <s v="Pasivos"/>
    <m/>
    <s v="Retención Fuente 8%"/>
    <m/>
    <m/>
    <n v="0"/>
  </r>
  <r>
    <x v="3"/>
    <x v="3"/>
    <s v="12/01/2022"/>
    <x v="0"/>
    <s v="12/01/2022"/>
    <n v="7995"/>
    <s v="FACT. 2570 HOSPEDAJE LEONID COELLO QUITO ATENCION"/>
    <m/>
    <n v="6.4"/>
    <n v="-6.4"/>
  </r>
  <r>
    <x v="3"/>
    <x v="3"/>
    <s v="21/02/2022"/>
    <x v="1"/>
    <s v="21/02/2022"/>
    <n v="8312"/>
    <s v="ND PAGO RETEN FTE ENERO 2022 SRI FORMULARIO 103"/>
    <n v="6.4"/>
    <m/>
    <n v="6.4"/>
  </r>
  <r>
    <x v="3"/>
    <x v="3"/>
    <s v="09/05/2022"/>
    <x v="4"/>
    <s v="09/05/2022"/>
    <n v="8634"/>
    <s v="FC#127 SERVICIOS PROFESIONALES"/>
    <m/>
    <n v="3.2"/>
    <n v="-3.2"/>
  </r>
  <r>
    <x v="3"/>
    <x v="3"/>
    <s v="21/06/2022"/>
    <x v="9"/>
    <s v="21/06/2022"/>
    <n v="8886"/>
    <s v="ND PAGO RETENCIONES FUENTE MAYO SRI FORM 103"/>
    <n v="3.2"/>
    <m/>
    <n v="3.2"/>
  </r>
  <r>
    <x v="3"/>
    <x v="3"/>
    <s v="23/06/2022"/>
    <x v="9"/>
    <s v="23/06/2022"/>
    <n v="8771"/>
    <s v="FC#598 ASESORIA AERONAUTICA (2.3 HORAS HC-CVK)"/>
    <m/>
    <n v="32"/>
    <n v="-32"/>
  </r>
  <r>
    <x v="3"/>
    <x v="3"/>
    <s v="19/07/2022"/>
    <x v="5"/>
    <s v="19/07/2022"/>
    <n v="8956"/>
    <s v="ND PAGO RETEN FTE JUNIO 2022 FORM 103 SRI"/>
    <n v="2040"/>
    <m/>
    <n v="2040"/>
  </r>
  <r>
    <x v="3"/>
    <x v="3"/>
    <s v="19/07/2022"/>
    <x v="5"/>
    <s v="19/07/2022"/>
    <n v="8986"/>
    <s v="ND PAGO RETEN FTE JUNIO 2022 FORM 103 SRI(Anulació"/>
    <n v="-2040"/>
    <m/>
    <n v="-2040"/>
  </r>
  <r>
    <x v="3"/>
    <x v="3"/>
    <s v="19/07/2022"/>
    <x v="5"/>
    <s v="19/07/2022"/>
    <n v="8987"/>
    <s v="ND PAGO RETEN FTE JUNIO 2022 FORM 103 SRI"/>
    <n v="32"/>
    <m/>
    <n v="32"/>
  </r>
  <r>
    <x v="3"/>
    <x v="3"/>
    <s v="13/09/2022"/>
    <x v="7"/>
    <s v="13/09/2022"/>
    <n v="9172"/>
    <s v="FC#186755 DECLARACION JURAMENTADA CERTIFICACION DO"/>
    <m/>
    <n v="4.71"/>
    <n v="-4.71"/>
  </r>
  <r>
    <x v="3"/>
    <x v="3"/>
    <s v="12/10/2022"/>
    <x v="8"/>
    <s v="12/10/2022"/>
    <n v="9295"/>
    <s v="FC#188704 DECLARACION JURAMENTADA BANCO CENTRAL"/>
    <m/>
    <n v="4.68"/>
    <n v="-4.68"/>
  </r>
  <r>
    <x v="3"/>
    <x v="3"/>
    <s v="19/10/2022"/>
    <x v="8"/>
    <s v="19/10/2022"/>
    <n v="9424"/>
    <s v="ND 30480126 PAGO RETEN FUENTE SEP 2022 SRI FORM 10"/>
    <n v="4.71"/>
    <m/>
    <n v="4.71"/>
  </r>
  <r>
    <x v="4"/>
    <x v="4"/>
    <n v="2021"/>
    <x v="0"/>
    <s v="Pasivos"/>
    <m/>
    <s v="Retención Fuente 0%"/>
    <m/>
    <m/>
    <n v="0"/>
  </r>
  <r>
    <x v="4"/>
    <x v="4"/>
    <s v="03/01/2022"/>
    <x v="0"/>
    <s v="01/01/2022"/>
    <n v="8007"/>
    <s v="FAC,.4950 INCINERATOR-PASSENGER-ADMINISTRACION"/>
    <n v="0"/>
    <n v="0"/>
    <n v="0"/>
  </r>
  <r>
    <x v="4"/>
    <x v="4"/>
    <s v="03/01/2022"/>
    <x v="0"/>
    <s v="02/01/2022"/>
    <n v="8111"/>
    <s v="FC.111984 PANAMERIC.LIFE SEG VIDA Y ASISTENCIA MED"/>
    <n v="0"/>
    <n v="0"/>
    <n v="0"/>
  </r>
  <r>
    <x v="4"/>
    <x v="4"/>
    <s v="03/01/2022"/>
    <x v="0"/>
    <s v="02/01/2022"/>
    <n v="8116"/>
    <s v="Factura de proveedores - Cancelación - PN179260268"/>
    <n v="0"/>
    <n v="0"/>
    <n v="0"/>
  </r>
  <r>
    <x v="4"/>
    <x v="4"/>
    <s v="03/02/2022"/>
    <x v="1"/>
    <s v="03/01/2022"/>
    <n v="7936"/>
    <s v="FC. 449 MADIRT. REEMB SISTEMA DATA LIFE ENERO 2022"/>
    <n v="0"/>
    <n v="0"/>
    <n v="0"/>
  </r>
  <r>
    <x v="4"/>
    <x v="4"/>
    <s v="03/01/2022"/>
    <x v="0"/>
    <s v="03/01/2022"/>
    <n v="8001"/>
    <s v="FC.110749 PANAMERIC.LIFE SEG VIDA Y ASISTENCIA MED"/>
    <n v="0"/>
    <n v="0"/>
    <n v="0"/>
  </r>
  <r>
    <x v="4"/>
    <x v="4"/>
    <s v="03/01/2022"/>
    <x v="0"/>
    <s v="03/01/2022"/>
    <n v="8002"/>
    <s v="FC.110750 PANAMERIC.LIFE SEG VIDA Y ASISTENCIA MED"/>
    <n v="0"/>
    <n v="0"/>
    <n v="0"/>
  </r>
  <r>
    <x v="4"/>
    <x v="4"/>
    <s v="03/01/2022"/>
    <x v="0"/>
    <s v="03/01/2022"/>
    <n v="8003"/>
    <s v="FC.110751 PANAMERIC.LIFE SEG VIDA Y ASISTENCIA MED"/>
    <n v="0"/>
    <n v="0"/>
    <n v="0"/>
  </r>
  <r>
    <x v="4"/>
    <x v="4"/>
    <s v="03/01/2022"/>
    <x v="0"/>
    <s v="03/01/2022"/>
    <n v="8004"/>
    <s v="FC.110752 PANAMERIC.LIFE SEG VIDA Y ASISTENCIA MED"/>
    <n v="0"/>
    <n v="0"/>
    <n v="0"/>
  </r>
  <r>
    <x v="4"/>
    <x v="4"/>
    <s v="03/01/2022"/>
    <x v="0"/>
    <s v="03/01/2022"/>
    <n v="8005"/>
    <s v="FC.110753 PANAMERIC.LIFE SEG VIDA Y ASISTENCIA MED"/>
    <n v="0"/>
    <n v="0"/>
    <n v="0"/>
  </r>
  <r>
    <x v="4"/>
    <x v="4"/>
    <s v="03/01/2022"/>
    <x v="0"/>
    <s v="03/01/2022"/>
    <n v="8015"/>
    <s v="Factura de proveedores - Cancelación - PN179260268"/>
    <n v="0"/>
    <n v="0"/>
    <n v="0"/>
  </r>
  <r>
    <x v="4"/>
    <x v="4"/>
    <s v="03/01/2022"/>
    <x v="0"/>
    <s v="03/01/2022"/>
    <n v="8016"/>
    <s v="Factura de proveedores - Cancelación - PN179260268"/>
    <n v="0"/>
    <n v="0"/>
    <n v="0"/>
  </r>
  <r>
    <x v="4"/>
    <x v="4"/>
    <s v="03/01/2022"/>
    <x v="0"/>
    <s v="03/01/2022"/>
    <n v="8018"/>
    <s v="Factura de proveedores - Cancelación - PN179260268"/>
    <n v="0"/>
    <n v="0"/>
    <n v="0"/>
  </r>
  <r>
    <x v="4"/>
    <x v="4"/>
    <s v="04/01/2022"/>
    <x v="0"/>
    <s v="04/01/2022"/>
    <n v="7940"/>
    <s v="FC 165946 NACTUR FEE TKTS NACIONAL LEONIDAS COELLO"/>
    <n v="0"/>
    <n v="0"/>
    <n v="0"/>
  </r>
  <r>
    <x v="4"/>
    <x v="4"/>
    <s v="04/01/2022"/>
    <x v="0"/>
    <s v="04/01/2022"/>
    <n v="7941"/>
    <s v="FC 165945 NACTUR REEB BOLETO AEREO NACIONAL LEONID"/>
    <n v="0"/>
    <n v="0"/>
    <n v="0"/>
  </r>
  <r>
    <x v="4"/>
    <x v="4"/>
    <s v="04/01/2022"/>
    <x v="0"/>
    <s v="04/01/2022"/>
    <n v="7945"/>
    <s v="N/C 147219 ASEG. CONDOR APLICA FACT.470559"/>
    <n v="0"/>
    <n v="0"/>
    <n v="0"/>
  </r>
  <r>
    <x v="4"/>
    <x v="4"/>
    <s v="04/01/2022"/>
    <x v="0"/>
    <s v="04/01/2022"/>
    <n v="8077"/>
    <s v="FACT. 29952 REEMBOLSO 1190 GALONES JET A-1 N751SJ"/>
    <n v="0"/>
    <n v="0"/>
    <n v="0"/>
  </r>
  <r>
    <x v="4"/>
    <x v="4"/>
    <s v="07/02/2022"/>
    <x v="1"/>
    <s v="05/01/2022"/>
    <n v="7937"/>
    <s v="FACT. 452 REEMB ASESORIA LEGAL PBP ENERO 2022"/>
    <n v="0"/>
    <n v="0"/>
    <n v="0"/>
  </r>
  <r>
    <x v="4"/>
    <x v="4"/>
    <s v="06/01/2022"/>
    <x v="0"/>
    <s v="06/01/2022"/>
    <n v="7943"/>
    <s v="FC.166004 REEM BOLET AEREOS SERRANO D"/>
    <n v="0"/>
    <n v="0"/>
    <n v="0"/>
  </r>
  <r>
    <x v="4"/>
    <x v="4"/>
    <s v="06/01/2022"/>
    <x v="0"/>
    <s v="06/01/2022"/>
    <n v="8006"/>
    <s v="FC.110754 PANAMERIC.LIFE SEG VIDA Y ASISTENCIA MED"/>
    <n v="0"/>
    <n v="0"/>
    <n v="0"/>
  </r>
  <r>
    <x v="4"/>
    <x v="4"/>
    <s v="06/01/2022"/>
    <x v="0"/>
    <s v="06/01/2022"/>
    <n v="8017"/>
    <s v="Factura de proveedores - Cancelación - PN179260268"/>
    <n v="0"/>
    <n v="0"/>
    <n v="0"/>
  </r>
  <r>
    <x v="4"/>
    <x v="4"/>
    <s v="06/01/2022"/>
    <x v="0"/>
    <s v="06/01/2022"/>
    <n v="8076"/>
    <s v="FACT. 29953 REEMBOLSO 1190 GALONES JET A-1 N751SJ"/>
    <n v="0"/>
    <n v="0"/>
    <n v="0"/>
  </r>
  <r>
    <x v="4"/>
    <x v="4"/>
    <s v="11/01/2022"/>
    <x v="0"/>
    <s v="11/01/2022"/>
    <n v="8009"/>
    <s v="FAC.166092  NACTUR FEE TKTS NACIONAL LEONIDAS COEL"/>
    <n v="0"/>
    <n v="0"/>
    <n v="0"/>
  </r>
  <r>
    <x v="4"/>
    <x v="4"/>
    <s v="11/01/2022"/>
    <x v="0"/>
    <s v="11/01/2022"/>
    <n v="8010"/>
    <s v="FAC.166090 REEMBOLSO BOLETO COELLO LEONID"/>
    <n v="0"/>
    <n v="0"/>
    <n v="0"/>
  </r>
  <r>
    <x v="4"/>
    <x v="4"/>
    <s v="18/01/2022"/>
    <x v="0"/>
    <s v="18/01/2022"/>
    <n v="7996"/>
    <s v="REEMBOLSO MOVILIZACION DOMICILIO AEROPUERTO 5 Y 12"/>
    <n v="0"/>
    <n v="0"/>
    <n v="0"/>
  </r>
  <r>
    <x v="4"/>
    <x v="4"/>
    <s v="18/02/2022"/>
    <x v="1"/>
    <s v="18/01/2022"/>
    <n v="8019"/>
    <s v="FC 3297 REEM CONSUMO CELULAR DICIEMBRE 2021"/>
    <n v="0"/>
    <n v="0"/>
    <n v="0"/>
  </r>
  <r>
    <x v="4"/>
    <x v="4"/>
    <s v="21/02/2022"/>
    <x v="1"/>
    <s v="20/01/2022"/>
    <n v="8022"/>
    <s v="FC.455 MADIRT REEMB ARRIENDO SISTEMA SAP SIGLO DIC"/>
    <n v="0"/>
    <n v="0"/>
    <n v="0"/>
  </r>
  <r>
    <x v="4"/>
    <x v="4"/>
    <s v="20/01/2022"/>
    <x v="0"/>
    <s v="20/01/2022"/>
    <n v="8075"/>
    <s v="FACT. 29954 REEMBOLSO CONSUMO ENERGIA ELECTRICA HA"/>
    <n v="0"/>
    <n v="0"/>
    <n v="0"/>
  </r>
  <r>
    <x v="4"/>
    <x v="4"/>
    <s v="20/01/2022"/>
    <x v="0"/>
    <s v="20/01/2022"/>
    <n v="8078"/>
    <s v="Factura de proveedores - Cancelación - PN179127302"/>
    <n v="0"/>
    <n v="0"/>
    <n v="0"/>
  </r>
  <r>
    <x v="4"/>
    <x v="4"/>
    <s v="20/01/2022"/>
    <x v="0"/>
    <s v="20/01/2022"/>
    <n v="8079"/>
    <s v="FACT. 29954 REEMBOLSO CONSUMO ENERGIA ELECTRICA HA"/>
    <n v="0"/>
    <n v="0"/>
    <n v="0"/>
  </r>
  <r>
    <x v="4"/>
    <x v="4"/>
    <s v="24/01/2022"/>
    <x v="0"/>
    <s v="24/01/2022"/>
    <n v="7969"/>
    <s v="FAC.16330 FLETE Y PICK UP MIAMI REPUESTO DE AVION"/>
    <n v="0"/>
    <n v="0"/>
    <n v="0"/>
  </r>
  <r>
    <x v="4"/>
    <x v="4"/>
    <s v="24/01/2022"/>
    <x v="0"/>
    <s v="24/01/2022"/>
    <n v="7970"/>
    <s v="FAC.16631 INGRESO ECUAPAS,ADM. VTO.SERVICIOS DE EM"/>
    <n v="0"/>
    <n v="0"/>
    <n v="0"/>
  </r>
  <r>
    <x v="4"/>
    <x v="4"/>
    <s v="27/01/2022"/>
    <x v="0"/>
    <s v="27/01/2022"/>
    <n v="8058"/>
    <s v="FAC. 4342 REEMBOLSO DE GASTOS FRIOEXPORTACIO-FLETE"/>
    <n v="0"/>
    <n v="0"/>
    <n v="0"/>
  </r>
  <r>
    <x v="4"/>
    <x v="4"/>
    <s v="28/01/2022"/>
    <x v="0"/>
    <s v="28/01/2022"/>
    <n v="8023"/>
    <s v="FAC.166602 FEE TKTS NACIONAL CARVAJAL LUIS Y ALFAR"/>
    <n v="0"/>
    <n v="0"/>
    <n v="0"/>
  </r>
  <r>
    <x v="4"/>
    <x v="4"/>
    <s v="28/01/2022"/>
    <x v="0"/>
    <s v="28/01/2022"/>
    <n v="8024"/>
    <s v="Factura de proveedores - Cancelación - PN099003383"/>
    <n v="0"/>
    <n v="0"/>
    <n v="0"/>
  </r>
  <r>
    <x v="4"/>
    <x v="4"/>
    <s v="31/01/2022"/>
    <x v="0"/>
    <s v="31/01/2022"/>
    <n v="8063"/>
    <s v="FACT. 11691165 COMISIONES Y CARGOS BANCARIOS ENERO"/>
    <n v="0"/>
    <n v="0"/>
    <n v="0"/>
  </r>
  <r>
    <x v="4"/>
    <x v="4"/>
    <s v="02/03/2022"/>
    <x v="2"/>
    <s v="02/02/2022"/>
    <n v="8087"/>
    <s v="FACT. 461 REEMB ASESORIA LEGAL PBP FEBRERO 2022"/>
    <n v="0"/>
    <n v="0"/>
    <n v="0"/>
  </r>
  <r>
    <x v="4"/>
    <x v="4"/>
    <s v="02/03/2022"/>
    <x v="2"/>
    <s v="02/02/2022"/>
    <n v="8088"/>
    <s v="FC.466 MADIRT REEMB ARRIENDO SISTEMA SAP SIGLO FEB"/>
    <n v="0"/>
    <n v="0"/>
    <n v="0"/>
  </r>
  <r>
    <x v="4"/>
    <x v="4"/>
    <s v="02/02/2022"/>
    <x v="1"/>
    <s v="02/02/2022"/>
    <n v="8110"/>
    <s v="FC.111987 PANAMERIC.LIFE SEG VIDA Y ASISTENCIA MED"/>
    <n v="0"/>
    <n v="0"/>
    <n v="0"/>
  </r>
  <r>
    <x v="4"/>
    <x v="4"/>
    <s v="02/02/2022"/>
    <x v="1"/>
    <s v="02/02/2022"/>
    <n v="8117"/>
    <s v="FC.111984 PANAMERIC.LIFE SEG VIDA Y ASISTENCIA MED"/>
    <n v="0"/>
    <n v="0"/>
    <n v="0"/>
  </r>
  <r>
    <x v="4"/>
    <x v="4"/>
    <s v="02/03/2022"/>
    <x v="2"/>
    <s v="02/02/2022"/>
    <n v="8118"/>
    <s v="CAJA-053-2022 REPOSICION DE GASTOS DE CAJA CHICA"/>
    <n v="0"/>
    <n v="0"/>
    <n v="0"/>
  </r>
  <r>
    <x v="4"/>
    <x v="4"/>
    <s v="04/02/2022"/>
    <x v="1"/>
    <s v="04/02/2022"/>
    <n v="8090"/>
    <s v="FACT. 29955 REEMBOLSO 209 GALONES JET A-1 AERONAVE"/>
    <n v="0"/>
    <n v="0"/>
    <n v="0"/>
  </r>
  <r>
    <x v="4"/>
    <x v="4"/>
    <s v="09/02/2022"/>
    <x v="1"/>
    <s v="09/02/2022"/>
    <n v="8082"/>
    <s v="FAC.121877 SEGURO PARA HELICOPTERO-CONTENEDOR-Y TO"/>
    <n v="0"/>
    <n v="0"/>
    <n v="0"/>
  </r>
  <r>
    <x v="4"/>
    <x v="4"/>
    <s v="09/03/2022"/>
    <x v="2"/>
    <s v="09/02/2022"/>
    <n v="8091"/>
    <s v="FC.3367 REEM CONSUMO CELULAR ENERO 2021"/>
    <n v="0"/>
    <n v="0"/>
    <n v="0"/>
  </r>
  <r>
    <x v="4"/>
    <x v="4"/>
    <s v="10/02/2022"/>
    <x v="1"/>
    <s v="10/02/2022"/>
    <n v="8109"/>
    <s v="FACT.60514 ESTACIONAMIENTO-ATERRISAJE-PROTECCION D"/>
    <n v="0"/>
    <n v="0"/>
    <n v="0"/>
  </r>
  <r>
    <x v="4"/>
    <x v="4"/>
    <s v="10/03/2022"/>
    <x v="2"/>
    <s v="10/02/2022"/>
    <n v="8268"/>
    <s v="FC#20982 TARIFA ANUAL NACIONAL AERONAUTICA HC-VCK"/>
    <n v="0"/>
    <n v="0"/>
    <n v="0"/>
  </r>
  <r>
    <x v="4"/>
    <x v="4"/>
    <s v="15/02/2022"/>
    <x v="1"/>
    <s v="15/02/2022"/>
    <n v="8247"/>
    <s v="FACT. 29956 REEMBOLSO 500 GALONES JET A-1 AERONAVE"/>
    <n v="0"/>
    <n v="0"/>
    <n v="0"/>
  </r>
  <r>
    <x v="4"/>
    <x v="4"/>
    <s v="16/02/2022"/>
    <x v="1"/>
    <s v="16/02/2022"/>
    <n v="8115"/>
    <s v="FACT. 16335 HOTEL ORO VERDE HOSPEDAJE GUILLERMO RO"/>
    <n v="0"/>
    <n v="0"/>
    <n v="0"/>
  </r>
  <r>
    <x v="4"/>
    <x v="4"/>
    <s v="16/02/2022"/>
    <x v="1"/>
    <s v="16/02/2022"/>
    <n v="8246"/>
    <s v="FC#96159 PETROECUADOR ADQUISICION 65 GALONES JET A"/>
    <n v="0"/>
    <n v="0"/>
    <n v="0"/>
  </r>
  <r>
    <x v="4"/>
    <x v="4"/>
    <s v="17/03/2022"/>
    <x v="2"/>
    <s v="17/02/2022"/>
    <n v="8112"/>
    <s v="FACT. 69595 TAGSA USO INSTALACIONES COMBUSTIBLE HC"/>
    <n v="0"/>
    <n v="0"/>
    <n v="0"/>
  </r>
  <r>
    <x v="4"/>
    <x v="4"/>
    <s v="17/02/2022"/>
    <x v="1"/>
    <s v="17/02/2022"/>
    <n v="8242"/>
    <s v="FC#60804 EMISION TARJETAS DE CIRCULACION"/>
    <n v="0"/>
    <n v="0"/>
    <n v="0"/>
  </r>
  <r>
    <x v="4"/>
    <x v="4"/>
    <s v="18/02/2022"/>
    <x v="1"/>
    <s v="18/02/2022"/>
    <n v="8120"/>
    <s v="REPOSICION GASTOS DE VIAJE SR. PAUL DEL CASTILLO"/>
    <n v="0"/>
    <n v="0"/>
    <n v="0"/>
  </r>
  <r>
    <x v="4"/>
    <x v="4"/>
    <s v="18/02/2022"/>
    <x v="1"/>
    <s v="18/02/2022"/>
    <n v="8121"/>
    <s v="REPOSICION GASTOS DE VIAJE SR. PAUL DEL CASTILLO"/>
    <n v="0"/>
    <n v="0"/>
    <n v="0"/>
  </r>
  <r>
    <x v="4"/>
    <x v="4"/>
    <s v="18/02/2022"/>
    <x v="1"/>
    <s v="18/02/2022"/>
    <n v="8122"/>
    <s v="Factura de proveedores - Cancelación - PN171296712"/>
    <n v="0"/>
    <n v="0"/>
    <n v="0"/>
  </r>
  <r>
    <x v="4"/>
    <x v="4"/>
    <s v="18/02/2022"/>
    <x v="1"/>
    <s v="18/02/2022"/>
    <n v="8123"/>
    <s v="Factura de proveedores - Cancelación - PN171296712"/>
    <n v="0"/>
    <n v="0"/>
    <n v="0"/>
  </r>
  <r>
    <x v="4"/>
    <x v="4"/>
    <s v="18/02/2022"/>
    <x v="1"/>
    <s v="18/02/2022"/>
    <n v="8124"/>
    <s v="REPOSICION GASTOS DE VIAJE SR. PAUL DEL CASTILLO"/>
    <n v="0"/>
    <n v="0"/>
    <n v="0"/>
  </r>
  <r>
    <x v="4"/>
    <x v="4"/>
    <s v="18/02/2022"/>
    <x v="1"/>
    <s v="18/02/2022"/>
    <n v="8248"/>
    <s v="FC#29957 REEMBOLSO CONSUMO ENERGIA ELECTRICA DEL 1"/>
    <n v="0"/>
    <n v="0"/>
    <n v="0"/>
  </r>
  <r>
    <x v="4"/>
    <x v="4"/>
    <s v="21/02/2022"/>
    <x v="1"/>
    <s v="19/02/2022"/>
    <n v="8245"/>
    <s v="FC#96370 PETROECUADOR ADQUISICION 36 GALONES JET A"/>
    <n v="0"/>
    <n v="0"/>
    <n v="0"/>
  </r>
  <r>
    <x v="4"/>
    <x v="4"/>
    <s v="21/03/2022"/>
    <x v="2"/>
    <s v="21/02/2022"/>
    <n v="8126"/>
    <s v="REPOSICION DE GASTOS DE VIAJE PARA OPERACIONES"/>
    <n v="0"/>
    <n v="0"/>
    <n v="0"/>
  </r>
  <r>
    <x v="4"/>
    <x v="4"/>
    <s v="21/02/2022"/>
    <x v="1"/>
    <s v="21/02/2022"/>
    <n v="8244"/>
    <s v="FC#73970 PETROECUADOR ADQUISICION 47 GALONES JET A"/>
    <n v="0"/>
    <n v="0"/>
    <n v="0"/>
  </r>
  <r>
    <x v="4"/>
    <x v="4"/>
    <s v="22/03/2022"/>
    <x v="2"/>
    <s v="22/02/2022"/>
    <n v="8128"/>
    <s v="LIQUIDACION DE GASTOS DE VIAJE SR. DIEGO SERRANO"/>
    <n v="0"/>
    <n v="0"/>
    <n v="0"/>
  </r>
  <r>
    <x v="4"/>
    <x v="4"/>
    <s v="22/02/2022"/>
    <x v="1"/>
    <s v="22/02/2022"/>
    <n v="8243"/>
    <s v="FC#73988 PETROECUADOR ADQUISICION 21 GALONES JET A"/>
    <n v="0"/>
    <n v="0"/>
    <n v="0"/>
  </r>
  <r>
    <x v="4"/>
    <x v="4"/>
    <s v="24/02/2022"/>
    <x v="1"/>
    <s v="24/02/2022"/>
    <n v="8253"/>
    <s v="FC#167448 REEM BOLETOS AEREOS SERRANO D., RODAS G."/>
    <n v="0"/>
    <n v="0"/>
    <n v="0"/>
  </r>
  <r>
    <x v="4"/>
    <x v="4"/>
    <s v="24/02/2022"/>
    <x v="1"/>
    <s v="24/02/2022"/>
    <n v="8254"/>
    <s v="FC#167450 NACTUR FEE TKTS NACIONAL SERRANO DIEGO,"/>
    <n v="0"/>
    <n v="0"/>
    <n v="0"/>
  </r>
  <r>
    <x v="4"/>
    <x v="4"/>
    <s v="24/02/2022"/>
    <x v="1"/>
    <s v="24/02/2022"/>
    <n v="8255"/>
    <s v="FC#167474 REEM BOLETOS AEREOS RODAS GUILLERMO"/>
    <n v="0"/>
    <n v="0"/>
    <n v="0"/>
  </r>
  <r>
    <x v="4"/>
    <x v="4"/>
    <s v="24/02/2022"/>
    <x v="1"/>
    <s v="24/02/2022"/>
    <n v="8256"/>
    <s v="FC#167475 NACTUR FEE TKTS NACIONAL RODAS GUILLERMO"/>
    <n v="0"/>
    <n v="0"/>
    <n v="0"/>
  </r>
  <r>
    <x v="4"/>
    <x v="4"/>
    <s v="24/02/2022"/>
    <x v="1"/>
    <s v="24/02/2022"/>
    <n v="8257"/>
    <s v="FC#167434 REEM BOLETOS AEREOS SERRANO DIEGO"/>
    <n v="0"/>
    <n v="0"/>
    <n v="0"/>
  </r>
  <r>
    <x v="4"/>
    <x v="4"/>
    <s v="25/02/2022"/>
    <x v="1"/>
    <s v="25/02/2022"/>
    <n v="8251"/>
    <s v="FC#167514 REEM BOLETOS AEREOS SERRANO DIEGO"/>
    <n v="0"/>
    <n v="0"/>
    <n v="0"/>
  </r>
  <r>
    <x v="4"/>
    <x v="4"/>
    <s v="25/02/2022"/>
    <x v="1"/>
    <s v="25/02/2022"/>
    <n v="8252"/>
    <s v="FC#167515 NACTUR FEE TKTS NACIONAL SERRANO DIEGO"/>
    <n v="0"/>
    <n v="0"/>
    <n v="0"/>
  </r>
  <r>
    <x v="4"/>
    <x v="4"/>
    <s v="25/02/2022"/>
    <x v="1"/>
    <s v="25/02/2022"/>
    <n v="8262"/>
    <s v="FC#16547 HOTEL ORO VERDE HOSPEDAJE DIEGO SERRANO 2"/>
    <n v="0"/>
    <n v="0"/>
    <n v="0"/>
  </r>
  <r>
    <x v="4"/>
    <x v="4"/>
    <s v="28/02/2022"/>
    <x v="1"/>
    <s v="26/02/2022"/>
    <n v="8249"/>
    <s v="FC#29960 REEMBOLSO 406 GALONES JET A-1 AERONAVE N2"/>
    <n v="0"/>
    <n v="0"/>
    <n v="0"/>
  </r>
  <r>
    <x v="4"/>
    <x v="4"/>
    <s v="28/02/2022"/>
    <x v="1"/>
    <s v="26/02/2022"/>
    <n v="8250"/>
    <s v="FC#29961 REEMBOLSO 300 GALONES JET A-1 AERONAVE N2"/>
    <n v="0"/>
    <n v="0"/>
    <n v="0"/>
  </r>
  <r>
    <x v="4"/>
    <x v="4"/>
    <s v="28/03/2022"/>
    <x v="2"/>
    <s v="28/02/2022"/>
    <n v="8259"/>
    <s v="REPOSICION GASTOS DE VIAJE DIEGO SERRANO"/>
    <n v="0"/>
    <n v="0"/>
    <n v="0"/>
  </r>
  <r>
    <x v="4"/>
    <x v="4"/>
    <s v="28/02/2022"/>
    <x v="1"/>
    <s v="28/02/2022"/>
    <n v="8260"/>
    <s v="REEMB GASTOS REPOSICION CAJA CH N° 054 XB"/>
    <n v="0"/>
    <n v="0"/>
    <n v="0"/>
  </r>
  <r>
    <x v="4"/>
    <x v="4"/>
    <s v="28/02/2022"/>
    <x v="1"/>
    <s v="28/02/2022"/>
    <n v="8261"/>
    <s v="REEMB GASTOS REPOSICION CAJA CH N° 054 PV"/>
    <n v="0"/>
    <n v="0"/>
    <n v="0"/>
  </r>
  <r>
    <x v="4"/>
    <x v="4"/>
    <s v="28/02/2022"/>
    <x v="1"/>
    <s v="28/02/2022"/>
    <n v="8263"/>
    <s v="FACT. 11743983 COMISIONES Y CARGOS BANCARIOS FEBRE"/>
    <n v="0"/>
    <n v="0"/>
    <n v="0"/>
  </r>
  <r>
    <x v="4"/>
    <x v="4"/>
    <s v="04/04/2022"/>
    <x v="3"/>
    <s v="03/03/2022"/>
    <n v="8287"/>
    <s v="FC#69914 TAGSA USO INSTALACIONES COMBUSTIBLE HC CV"/>
    <n v="0"/>
    <n v="0"/>
    <n v="0"/>
  </r>
  <r>
    <x v="4"/>
    <x v="4"/>
    <s v="03/03/2022"/>
    <x v="2"/>
    <s v="03/03/2022"/>
    <n v="8315"/>
    <s v="FC#29962 REEMBOLSO 622 GALONES JET A-1 AERONAVE N2"/>
    <n v="0"/>
    <n v="0"/>
    <n v="0"/>
  </r>
  <r>
    <x v="4"/>
    <x v="4"/>
    <s v="04/04/2022"/>
    <x v="3"/>
    <s v="04/03/2022"/>
    <n v="8350"/>
    <s v="FC#8770 SERV.SEGURIDAD NACIONAL Y TASA SALIDA PASA"/>
    <n v="0"/>
    <n v="0"/>
    <n v="0"/>
  </r>
  <r>
    <x v="4"/>
    <x v="4"/>
    <s v="08/03/2022"/>
    <x v="2"/>
    <s v="08/03/2022"/>
    <n v="8290"/>
    <s v="FC#10085 HOSPEDAJE JAVIER QUISHPE DEL 07 AL 08 MAR"/>
    <n v="0"/>
    <n v="0"/>
    <n v="0"/>
  </r>
  <r>
    <x v="4"/>
    <x v="4"/>
    <s v="08/03/2022"/>
    <x v="2"/>
    <s v="08/03/2022"/>
    <n v="8318"/>
    <s v="FC#167750 REEM BOLETOS AEREOS QUISHPE JAVIER"/>
    <n v="0"/>
    <n v="0"/>
    <n v="0"/>
  </r>
  <r>
    <x v="4"/>
    <x v="4"/>
    <s v="08/03/2022"/>
    <x v="2"/>
    <s v="08/03/2022"/>
    <n v="8319"/>
    <s v="FC#167751 FEE TKTS BOLETOS AEREOS QUISHPE JAVIER"/>
    <n v="0"/>
    <n v="0"/>
    <n v="0"/>
  </r>
  <r>
    <x v="4"/>
    <x v="4"/>
    <s v="11/04/2022"/>
    <x v="3"/>
    <s v="10/03/2022"/>
    <n v="8320"/>
    <s v="FC#3427 REEM CONSUMO CELULAR FEBRERO 202"/>
    <n v="0"/>
    <n v="0"/>
    <n v="0"/>
  </r>
  <r>
    <x v="4"/>
    <x v="4"/>
    <s v="18/03/2022"/>
    <x v="2"/>
    <s v="18/03/2022"/>
    <n v="8316"/>
    <s v="FC#168134 REEM BOLETOS AEREOS SERRANO DIEGO - COEL"/>
    <n v="0"/>
    <n v="0"/>
    <n v="0"/>
  </r>
  <r>
    <x v="4"/>
    <x v="4"/>
    <s v="18/03/2022"/>
    <x v="2"/>
    <s v="18/03/2022"/>
    <n v="8317"/>
    <s v="FC#168135 FEE TKTS BOLETOS AEREOS SERRANO DIEGO -"/>
    <n v="0"/>
    <n v="0"/>
    <n v="0"/>
  </r>
  <r>
    <x v="4"/>
    <x v="4"/>
    <s v="18/03/2022"/>
    <x v="2"/>
    <s v="18/03/2022"/>
    <n v="8334"/>
    <s v="FC#17254 HOTEL ORO VERDE HOSPEDAJE DIEGO SERRANO 1"/>
    <n v="0"/>
    <n v="0"/>
    <n v="0"/>
  </r>
  <r>
    <x v="4"/>
    <x v="4"/>
    <s v="21/03/2022"/>
    <x v="2"/>
    <s v="21/03/2022"/>
    <n v="8323"/>
    <s v="LIQ#102  REPOSICION GASTOS LEONID COELLO"/>
    <n v="0"/>
    <n v="0"/>
    <n v="0"/>
  </r>
  <r>
    <x v="4"/>
    <x v="4"/>
    <s v="24/03/2022"/>
    <x v="2"/>
    <s v="24/03/2022"/>
    <n v="8325"/>
    <s v="FC#115504 PANAMERIC.LIFE SEG VIDA Y ASISTENCIA MED"/>
    <n v="0"/>
    <n v="0"/>
    <n v="0"/>
  </r>
  <r>
    <x v="4"/>
    <x v="4"/>
    <s v="24/03/2022"/>
    <x v="2"/>
    <s v="24/03/2022"/>
    <n v="8326"/>
    <s v="FC#115507 PANAMERIC.LIFE SEG VIDA Y ASISTENCIA MED"/>
    <n v="0"/>
    <n v="0"/>
    <n v="0"/>
  </r>
  <r>
    <x v="4"/>
    <x v="4"/>
    <s v="31/03/2022"/>
    <x v="2"/>
    <s v="31/03/2022"/>
    <n v="8328"/>
    <s v="FC#168626 REEM BOLETOS AEREOS CASTILLO PAUL - RODA"/>
    <n v="0"/>
    <n v="0"/>
    <n v="0"/>
  </r>
  <r>
    <x v="4"/>
    <x v="4"/>
    <s v="31/03/2022"/>
    <x v="2"/>
    <s v="31/03/2022"/>
    <n v="8329"/>
    <s v="FC#168627 FEE TKTS BOLETOS AEREOS CASTILLO PAUL -"/>
    <n v="0"/>
    <n v="0"/>
    <n v="0"/>
  </r>
  <r>
    <x v="4"/>
    <x v="4"/>
    <s v="31/03/2022"/>
    <x v="2"/>
    <s v="31/03/2022"/>
    <n v="8330"/>
    <s v="FC#168626 REEM BOLETOS AEREOS SERRANO DIEGO"/>
    <n v="0"/>
    <n v="0"/>
    <n v="0"/>
  </r>
  <r>
    <x v="4"/>
    <x v="4"/>
    <s v="31/03/2022"/>
    <x v="2"/>
    <s v="31/03/2022"/>
    <n v="8331"/>
    <s v="FC#168648 FEE TKTS BOLETOS AEREOS SERRANO DIEGO"/>
    <n v="0"/>
    <n v="0"/>
    <n v="0"/>
  </r>
  <r>
    <x v="4"/>
    <x v="4"/>
    <s v="31/03/2022"/>
    <x v="2"/>
    <s v="31/03/2022"/>
    <n v="8332"/>
    <s v="FC#168649 REEM BOLETOS AEREOS SERRANO DIEGO"/>
    <n v="0"/>
    <n v="0"/>
    <n v="0"/>
  </r>
  <r>
    <x v="4"/>
    <x v="4"/>
    <s v="31/03/2022"/>
    <x v="2"/>
    <s v="31/03/2022"/>
    <n v="8333"/>
    <s v="FC#552 REEM GTOS REALIZADOS EN HANGAR DE GUAYAQUIL"/>
    <n v="0"/>
    <n v="0"/>
    <n v="0"/>
  </r>
  <r>
    <x v="4"/>
    <x v="4"/>
    <s v="31/03/2022"/>
    <x v="2"/>
    <s v="31/03/2022"/>
    <n v="8344"/>
    <s v="FC#12090865 COMISIONES Y CARGOS BANCARIOS MARZO 20"/>
    <n v="0"/>
    <n v="0"/>
    <n v="0"/>
  </r>
  <r>
    <x v="4"/>
    <x v="4"/>
    <s v="02/05/2022"/>
    <x v="4"/>
    <s v="31/03/2022"/>
    <n v="8345"/>
    <s v="FC#480 MADIRT. REEMB SISTEMA DATA LIFE FEB-MAR 22"/>
    <n v="0"/>
    <n v="0"/>
    <n v="0"/>
  </r>
  <r>
    <x v="4"/>
    <x v="4"/>
    <s v="02/05/2022"/>
    <x v="4"/>
    <s v="31/03/2022"/>
    <n v="8346"/>
    <s v="FC#476 MADIRT REEMB ARRIENDO SISTEMA SAP SIGLO MAR"/>
    <n v="0"/>
    <n v="0"/>
    <n v="0"/>
  </r>
  <r>
    <x v="4"/>
    <x v="4"/>
    <s v="02/05/2022"/>
    <x v="4"/>
    <s v="31/03/2022"/>
    <n v="8347"/>
    <s v="FC#471 REEMB ASESORIA LABORAL PBP MARZO 2022"/>
    <n v="0"/>
    <n v="0"/>
    <n v="0"/>
  </r>
  <r>
    <x v="4"/>
    <x v="4"/>
    <s v="01/04/2022"/>
    <x v="3"/>
    <s v="01/04/2022"/>
    <n v="8408"/>
    <s v="FC#17775 HOTEL ORO VERDE HOSPEDAJE GUILLERMO RODAS"/>
    <n v="0"/>
    <n v="0"/>
    <n v="0"/>
  </r>
  <r>
    <x v="4"/>
    <x v="4"/>
    <s v="01/04/2022"/>
    <x v="3"/>
    <s v="01/04/2022"/>
    <n v="8409"/>
    <s v="FC#17765 HOTEL ORO VERDE HOSPEDAJE PAUL DEL CASTIL"/>
    <n v="0"/>
    <n v="0"/>
    <n v="0"/>
  </r>
  <r>
    <x v="4"/>
    <x v="4"/>
    <s v="01/04/2022"/>
    <x v="3"/>
    <s v="01/04/2022"/>
    <n v="8410"/>
    <s v="Factura de proveedores - Cancelación - PN099000092"/>
    <n v="0"/>
    <n v="0"/>
    <n v="0"/>
  </r>
  <r>
    <x v="4"/>
    <x v="4"/>
    <s v="01/04/2022"/>
    <x v="3"/>
    <s v="01/04/2022"/>
    <n v="8411"/>
    <s v="FC#17775 HOTEL ORO VERDE HOSPEDAJE GUILLERMO RODAS"/>
    <n v="0"/>
    <n v="0"/>
    <n v="0"/>
  </r>
  <r>
    <x v="4"/>
    <x v="4"/>
    <s v="02/05/2022"/>
    <x v="4"/>
    <s v="01/04/2022"/>
    <n v="8412"/>
    <s v="FC#23831 SEGURO VH-512821-END-1"/>
    <n v="0"/>
    <n v="0"/>
    <n v="0"/>
  </r>
  <r>
    <x v="4"/>
    <x v="4"/>
    <s v="02/05/2022"/>
    <x v="4"/>
    <s v="01/04/2022"/>
    <n v="8447"/>
    <s v="REPOSICION GASTOS DE VIAJE DIEGO SERRANO 01/04/202"/>
    <n v="0"/>
    <n v="0"/>
    <n v="0"/>
  </r>
  <r>
    <x v="4"/>
    <x v="4"/>
    <s v="04/04/2022"/>
    <x v="3"/>
    <s v="04/04/2022"/>
    <n v="8413"/>
    <s v="FC#116227 PANAMERIC.LIFE SEG VIDA Y ASISTENCIA MED"/>
    <n v="0"/>
    <n v="0"/>
    <n v="0"/>
  </r>
  <r>
    <x v="4"/>
    <x v="4"/>
    <s v="04/04/2022"/>
    <x v="3"/>
    <s v="04/04/2022"/>
    <n v="8415"/>
    <s v="FC#116228 PANAMERIC.LIFE SEG VIDA Y ASISTENCIA MED"/>
    <n v="0"/>
    <n v="0"/>
    <n v="0"/>
  </r>
  <r>
    <x v="4"/>
    <x v="4"/>
    <s v="06/04/2022"/>
    <x v="3"/>
    <s v="06/04/2022"/>
    <n v="8455"/>
    <s v="REPOSICION GASTOS DE VIAJE SR. PAUL DEL CASTILLO 0"/>
    <n v="0"/>
    <n v="0"/>
    <n v="0"/>
  </r>
  <r>
    <x v="4"/>
    <x v="4"/>
    <s v="06/04/2022"/>
    <x v="3"/>
    <s v="06/04/2022"/>
    <n v="8485"/>
    <s v="FC#29963 REEMBOLSO 380 GALONES AERONAVE N254FH"/>
    <n v="0"/>
    <n v="0"/>
    <n v="0"/>
  </r>
  <r>
    <x v="4"/>
    <x v="4"/>
    <s v="09/05/2022"/>
    <x v="4"/>
    <s v="08/04/2022"/>
    <n v="8421"/>
    <s v="FC#487 MADIRT. REEMB SISTEMA DATA LIFE ABRIL 2022"/>
    <n v="0"/>
    <n v="0"/>
    <n v="0"/>
  </r>
  <r>
    <x v="4"/>
    <x v="4"/>
    <s v="09/05/2022"/>
    <x v="4"/>
    <s v="08/04/2022"/>
    <n v="8422"/>
    <s v="FC#493 MADIRT REEMB ARRIENDO SISTEMA SAP SIGLO ABR"/>
    <n v="0"/>
    <n v="0"/>
    <n v="0"/>
  </r>
  <r>
    <x v="4"/>
    <x v="4"/>
    <s v="08/04/2022"/>
    <x v="3"/>
    <s v="08/04/2022"/>
    <n v="8478"/>
    <s v="FC#5582 ATENCION VUEVLO 28/03/22 Y 08/04/2022  N24"/>
    <n v="0"/>
    <n v="0"/>
    <n v="0"/>
  </r>
  <r>
    <x v="4"/>
    <x v="4"/>
    <s v="11/04/2022"/>
    <x v="3"/>
    <s v="09/04/2022"/>
    <n v="8481"/>
    <s v="FC#29964 REEMBOLSO 522 GALONES JET A-1 AERONAVE N2"/>
    <n v="0"/>
    <n v="0"/>
    <n v="0"/>
  </r>
  <r>
    <x v="4"/>
    <x v="4"/>
    <s v="13/04/2022"/>
    <x v="3"/>
    <s v="13/04/2022"/>
    <n v="8378"/>
    <s v="FC#4726 LA CASA DE MARITA, HOSPEDAJE DEL 24 AL 27"/>
    <n v="0"/>
    <n v="0"/>
    <n v="0"/>
  </r>
  <r>
    <x v="4"/>
    <x v="4"/>
    <s v="13/04/2022"/>
    <x v="3"/>
    <s v="13/04/2022"/>
    <n v="8379"/>
    <s v="FC#4727 LA CASA DE MARITA, HOSPEDAJE DEL 08 AL 11"/>
    <n v="0"/>
    <n v="0"/>
    <n v="0"/>
  </r>
  <r>
    <x v="4"/>
    <x v="4"/>
    <s v="13/04/2022"/>
    <x v="3"/>
    <s v="13/04/2022"/>
    <n v="8418"/>
    <s v="FC#18145 HOTEL ORO VERDE HOSPEDAJE GUILLERMO RODAS"/>
    <n v="0"/>
    <n v="0"/>
    <n v="0"/>
  </r>
  <r>
    <x v="4"/>
    <x v="4"/>
    <s v="13/04/2022"/>
    <x v="3"/>
    <s v="13/04/2022"/>
    <n v="8419"/>
    <s v="FC#18155 HOTEL ORO VERDE HOSPEDAJE PAUL DEL CASTIL"/>
    <n v="0"/>
    <n v="0"/>
    <n v="0"/>
  </r>
  <r>
    <x v="4"/>
    <x v="4"/>
    <s v="13/05/2022"/>
    <x v="4"/>
    <s v="13/04/2022"/>
    <n v="8423"/>
    <s v="FC#3484 REEM CONSUMO CELULAR MARZO 2022"/>
    <n v="0"/>
    <n v="0"/>
    <n v="0"/>
  </r>
  <r>
    <x v="4"/>
    <x v="4"/>
    <s v="13/04/2022"/>
    <x v="3"/>
    <s v="13/04/2022"/>
    <n v="8475"/>
    <s v="FC#18144 HOTEL ORO VERDE HOSPEDAJE GUILLERMO RODAS"/>
    <n v="0"/>
    <n v="0"/>
    <n v="0"/>
  </r>
  <r>
    <x v="4"/>
    <x v="4"/>
    <s v="13/04/2022"/>
    <x v="3"/>
    <s v="13/04/2022"/>
    <n v="8482"/>
    <s v="FC#29965 REEMBOLSO 500 GALONES JET A-1 AERONAVE N2"/>
    <n v="0"/>
    <n v="0"/>
    <n v="0"/>
  </r>
  <r>
    <x v="4"/>
    <x v="4"/>
    <s v="18/04/2022"/>
    <x v="3"/>
    <s v="16/04/2022"/>
    <n v="8483"/>
    <s v="FC#29966 REEMBOLSO 566 GALONES JET A-1 AERONAVE N2"/>
    <n v="0"/>
    <n v="0"/>
    <n v="0"/>
  </r>
  <r>
    <x v="4"/>
    <x v="4"/>
    <s v="18/05/2022"/>
    <x v="4"/>
    <s v="18/04/2022"/>
    <n v="8468"/>
    <s v="REPOSICION GASTOS DE VIAJE DIEGO SERRANO 18/04/202"/>
    <n v="0"/>
    <n v="0"/>
    <n v="0"/>
  </r>
  <r>
    <x v="4"/>
    <x v="4"/>
    <s v="18/04/2022"/>
    <x v="3"/>
    <s v="18/04/2022"/>
    <n v="8484"/>
    <s v="FC#29967 REEMBOLSO CONSUMO ENERGIA ELECTRICA DEL 1"/>
    <n v="0"/>
    <n v="0"/>
    <n v="0"/>
  </r>
  <r>
    <x v="4"/>
    <x v="4"/>
    <s v="19/04/2022"/>
    <x v="3"/>
    <s v="19/04/2022"/>
    <n v="8479"/>
    <s v="FC#5639 ATENCION VUEVLO 11 Y 12 DE ABRIL  N245FH E"/>
    <n v="0"/>
    <n v="0"/>
    <n v="0"/>
  </r>
  <r>
    <x v="4"/>
    <x v="4"/>
    <s v="19/04/2022"/>
    <x v="3"/>
    <s v="19/04/2022"/>
    <n v="8480"/>
    <s v="FC#5640 ATENCION VUELO 13 Y 15 DE ABRIL  N245FH EC"/>
    <n v="0"/>
    <n v="0"/>
    <n v="0"/>
  </r>
  <r>
    <x v="4"/>
    <x v="4"/>
    <s v="20/05/2022"/>
    <x v="4"/>
    <s v="20/04/2022"/>
    <n v="8443"/>
    <s v="FC#546004 SEGURO AEROINSA RC-510862-END-1"/>
    <n v="0"/>
    <n v="0"/>
    <n v="0"/>
  </r>
  <r>
    <x v="4"/>
    <x v="4"/>
    <s v="21/04/2022"/>
    <x v="3"/>
    <s v="21/04/2022"/>
    <n v="8476"/>
    <s v="FC#206589 EMISION TARJETAS DE CIRCULACION D.SERRAN"/>
    <n v="0"/>
    <n v="0"/>
    <n v="0"/>
  </r>
  <r>
    <x v="4"/>
    <x v="4"/>
    <s v="26/04/2022"/>
    <x v="3"/>
    <s v="26/04/2022"/>
    <n v="8621"/>
    <s v="REEMB GASTOS REPOSICION CAJA CH N° 056 PV"/>
    <n v="0"/>
    <n v="0"/>
    <n v="0"/>
  </r>
  <r>
    <x v="4"/>
    <x v="4"/>
    <s v="26/04/2022"/>
    <x v="3"/>
    <s v="26/04/2022"/>
    <n v="8622"/>
    <s v="Factura de proveedores - Cancelación - PN090925363"/>
    <n v="0"/>
    <n v="0"/>
    <n v="0"/>
  </r>
  <r>
    <x v="4"/>
    <x v="4"/>
    <s v="30/04/2022"/>
    <x v="3"/>
    <s v="30/04/2022"/>
    <n v="8470"/>
    <s v="FC#12276044 COMISIONES Y CARGOS BANCARIOS ABRIL 20"/>
    <n v="0"/>
    <n v="0"/>
    <n v="0"/>
  </r>
  <r>
    <x v="4"/>
    <x v="4"/>
    <s v="02/05/2022"/>
    <x v="4"/>
    <s v="01/05/2022"/>
    <n v="8525"/>
    <s v="FC#5180 ATENCION VUELO 01/12/21 Y 03/02/2022  N245"/>
    <n v="0"/>
    <n v="0"/>
    <n v="0"/>
  </r>
  <r>
    <x v="4"/>
    <x v="4"/>
    <s v="02/05/2022"/>
    <x v="4"/>
    <s v="01/05/2022"/>
    <n v="8526"/>
    <s v="FC#5228 ATENCION VUEVLO 06/02/22 Y 14/02/2022  N24"/>
    <n v="0"/>
    <n v="0"/>
    <n v="0"/>
  </r>
  <r>
    <x v="4"/>
    <x v="4"/>
    <s v="02/05/2022"/>
    <x v="4"/>
    <s v="01/05/2022"/>
    <n v="8527"/>
    <s v="FC#5293 ATENCION VUEVLO 16/02/22 Y 25/02/2022  N24"/>
    <n v="0"/>
    <n v="0"/>
    <n v="0"/>
  </r>
  <r>
    <x v="4"/>
    <x v="4"/>
    <s v="02/05/2022"/>
    <x v="4"/>
    <s v="01/05/2022"/>
    <n v="8528"/>
    <s v="FC#5367 ATENCION VUELO 01/03/22 Y 02/03/2022  N245"/>
    <n v="0"/>
    <n v="0"/>
    <n v="0"/>
  </r>
  <r>
    <x v="4"/>
    <x v="4"/>
    <s v="02/05/2022"/>
    <x v="4"/>
    <s v="01/05/2022"/>
    <n v="8529"/>
    <s v="FC#5466 ATENCION VUEVLO 28/03/22 Y 08/04/2022  N24"/>
    <n v="0"/>
    <n v="0"/>
    <n v="0"/>
  </r>
  <r>
    <x v="4"/>
    <x v="4"/>
    <s v="02/05/2022"/>
    <x v="4"/>
    <s v="01/05/2022"/>
    <n v="8530"/>
    <s v="Factura de proveedores - Cancelación - PN179243166"/>
    <n v="0"/>
    <n v="0"/>
    <n v="0"/>
  </r>
  <r>
    <x v="4"/>
    <x v="4"/>
    <s v="02/05/2022"/>
    <x v="4"/>
    <s v="01/05/2022"/>
    <n v="8531"/>
    <s v="FC#5180 ATENCION VUELO 01/12/21 Y 03/02/2022  N245"/>
    <n v="0"/>
    <n v="0"/>
    <n v="0"/>
  </r>
  <r>
    <x v="4"/>
    <x v="4"/>
    <s v="02/05/2022"/>
    <x v="4"/>
    <s v="01/05/2022"/>
    <n v="8532"/>
    <s v="REEMBOLSO ELABORACION UNIFORMES INSPECCION DGAC"/>
    <n v="0"/>
    <n v="0"/>
    <n v="0"/>
  </r>
  <r>
    <x v="4"/>
    <x v="4"/>
    <s v="03/05/2022"/>
    <x v="4"/>
    <s v="03/05/2022"/>
    <n v="8498"/>
    <s v="FC#117789 PANAMERIC.LIFE SEG VIDA Y ASISTENCIA MED"/>
    <n v="0"/>
    <n v="0"/>
    <n v="0"/>
  </r>
  <r>
    <x v="4"/>
    <x v="4"/>
    <s v="03/05/2022"/>
    <x v="4"/>
    <s v="03/05/2022"/>
    <n v="8499"/>
    <s v="FC#117788 PANAMERIC.LIFE SEG VIDA Y ASISTENCIA MED"/>
    <n v="0"/>
    <n v="0"/>
    <n v="0"/>
  </r>
  <r>
    <x v="4"/>
    <x v="4"/>
    <s v="03/06/2022"/>
    <x v="9"/>
    <s v="03/05/2022"/>
    <n v="8617"/>
    <s v="FC#501 MADIRT. REEMB SISTEMA DATA LIFE MAYO 2022"/>
    <n v="0"/>
    <n v="0"/>
    <n v="0"/>
  </r>
  <r>
    <x v="4"/>
    <x v="4"/>
    <s v="03/05/2022"/>
    <x v="4"/>
    <s v="03/05/2022"/>
    <n v="8623"/>
    <s v="REEMB GASTOS REPOSICION CAJA CH N° 056 PV"/>
    <n v="0"/>
    <n v="0"/>
    <n v="0"/>
  </r>
  <r>
    <x v="4"/>
    <x v="4"/>
    <s v="03/05/2022"/>
    <x v="4"/>
    <s v="03/05/2022"/>
    <n v="8624"/>
    <s v="REEMB GASTOS REPOSICION CAJA CH N° 056 JQ"/>
    <n v="0"/>
    <n v="0"/>
    <n v="0"/>
  </r>
  <r>
    <x v="4"/>
    <x v="4"/>
    <s v="03/05/2022"/>
    <x v="4"/>
    <s v="03/05/2022"/>
    <n v="8625"/>
    <s v="REEMB GASTOS REPOSICION CAJA CH N° 056 XB"/>
    <n v="0"/>
    <n v="0"/>
    <n v="0"/>
  </r>
  <r>
    <x v="4"/>
    <x v="4"/>
    <s v="06/06/2022"/>
    <x v="9"/>
    <s v="04/05/2022"/>
    <n v="8618"/>
    <s v="FC#509 MADIRT REEMB ARRIENDO SISTEMA SAP SIGLO MAY"/>
    <n v="0"/>
    <n v="0"/>
    <n v="0"/>
  </r>
  <r>
    <x v="4"/>
    <x v="4"/>
    <s v="09/06/2022"/>
    <x v="9"/>
    <s v="09/05/2022"/>
    <n v="8619"/>
    <s v="FC#513 REEMB ASESORIA LABORAL PBP ABRIL 2022"/>
    <n v="0"/>
    <n v="0"/>
    <n v="0"/>
  </r>
  <r>
    <x v="4"/>
    <x v="4"/>
    <s v="09/06/2022"/>
    <x v="9"/>
    <s v="09/05/2022"/>
    <n v="8620"/>
    <s v="FC#510 REEMB ASESORIA LABORAL PBP MAYO 2022"/>
    <n v="0"/>
    <n v="0"/>
    <n v="0"/>
  </r>
  <r>
    <x v="4"/>
    <x v="4"/>
    <s v="13/06/2022"/>
    <x v="9"/>
    <s v="12/05/2022"/>
    <n v="8616"/>
    <s v="FC#3539 REEM CONSUMO CELULAR ABRIL 2022"/>
    <n v="0"/>
    <n v="0"/>
    <n v="0"/>
  </r>
  <r>
    <x v="4"/>
    <x v="4"/>
    <s v="18/05/2022"/>
    <x v="4"/>
    <s v="18/05/2022"/>
    <n v="8613"/>
    <s v="FC#19347 HOTEL ORO VERDE HOSPEDAJE GUILLERMO RODAS"/>
    <n v="0"/>
    <n v="0"/>
    <n v="0"/>
  </r>
  <r>
    <x v="4"/>
    <x v="4"/>
    <s v="18/05/2022"/>
    <x v="4"/>
    <s v="18/05/2022"/>
    <n v="8646"/>
    <s v="FC#102780 PETROECUADOR ADQUISICION 51 GALONES JET"/>
    <n v="0"/>
    <n v="0"/>
    <n v="0"/>
  </r>
  <r>
    <x v="4"/>
    <x v="4"/>
    <s v="19/05/2022"/>
    <x v="4"/>
    <s v="19/05/2022"/>
    <n v="8611"/>
    <s v="FC#19428 HOTEL ORO VERDE HOSPEDAJE GUILLERMO RODAS"/>
    <n v="0"/>
    <n v="0"/>
    <n v="0"/>
  </r>
  <r>
    <x v="4"/>
    <x v="4"/>
    <s v="19/05/2022"/>
    <x v="4"/>
    <s v="19/05/2022"/>
    <n v="8647"/>
    <s v="FC#102781 PETROECUADOR ADQUISICION 42 GALONES JET"/>
    <n v="0"/>
    <n v="0"/>
    <n v="0"/>
  </r>
  <r>
    <x v="4"/>
    <x v="4"/>
    <s v="20/05/2022"/>
    <x v="4"/>
    <s v="20/05/2022"/>
    <n v="8612"/>
    <s v="FC#19455 HOTEL ORO VERDE HOSPEDAJE GUILLERMO RODAS"/>
    <n v="0"/>
    <n v="0"/>
    <n v="0"/>
  </r>
  <r>
    <x v="4"/>
    <x v="4"/>
    <s v="20/05/2022"/>
    <x v="4"/>
    <s v="20/05/2022"/>
    <n v="8615"/>
    <s v="FC#19444 HOTEL ORO VERDE HOSPEDAJE DIEGO SERRANO 1"/>
    <n v="0"/>
    <n v="0"/>
    <n v="0"/>
  </r>
  <r>
    <x v="4"/>
    <x v="4"/>
    <s v="20/05/2022"/>
    <x v="4"/>
    <s v="20/05/2022"/>
    <n v="8648"/>
    <s v="FC#102858 PETROECUADOR ADQUISICION 34 GALONES JET"/>
    <n v="0"/>
    <n v="0"/>
    <n v="0"/>
  </r>
  <r>
    <x v="4"/>
    <x v="4"/>
    <s v="24/06/2022"/>
    <x v="9"/>
    <s v="24/05/2022"/>
    <n v="8609"/>
    <s v="FC#71754 TAGSA USO INSTALACIONES COMBUSTIBLE HC CV"/>
    <n v="0"/>
    <n v="0"/>
    <n v="0"/>
  </r>
  <r>
    <x v="4"/>
    <x v="4"/>
    <s v="25/05/2022"/>
    <x v="4"/>
    <s v="25/05/2022"/>
    <n v="8614"/>
    <s v="FC#19560 HOTEL ORO VERDE HOSPEDAJE DIEGO SERRANO 2"/>
    <n v="0"/>
    <n v="0"/>
    <n v="0"/>
  </r>
  <r>
    <x v="4"/>
    <x v="4"/>
    <s v="26/05/2022"/>
    <x v="4"/>
    <s v="26/05/2022"/>
    <n v="8607"/>
    <s v="FC#170551 REEM BOLETOS AEREOS SERRANO DIEGO"/>
    <n v="0"/>
    <n v="0"/>
    <n v="0"/>
  </r>
  <r>
    <x v="4"/>
    <x v="4"/>
    <s v="26/05/2022"/>
    <x v="4"/>
    <s v="26/05/2022"/>
    <n v="8608"/>
    <s v="FC#170552 FEE TKTS BOLETOS AEREOS SERRANO DIEGO"/>
    <n v="0"/>
    <n v="0"/>
    <n v="0"/>
  </r>
  <r>
    <x v="4"/>
    <x v="4"/>
    <s v="30/05/2022"/>
    <x v="4"/>
    <s v="30/05/2022"/>
    <n v="8645"/>
    <s v="FC#170659 REEM BOLETOS AEREOS SERRANO DIEGO"/>
    <n v="0"/>
    <n v="0"/>
    <n v="0"/>
  </r>
  <r>
    <x v="4"/>
    <x v="4"/>
    <s v="31/05/2022"/>
    <x v="4"/>
    <s v="31/05/2022"/>
    <n v="8681"/>
    <s v="FC#29968 REEMBOLSO CONSUMO ENERGIA ELECTRICA DEL 1"/>
    <n v="0"/>
    <n v="0"/>
    <n v="0"/>
  </r>
  <r>
    <x v="4"/>
    <x v="4"/>
    <s v="31/05/2022"/>
    <x v="4"/>
    <s v="31/05/2022"/>
    <n v="8682"/>
    <s v="FC#29969 REEMBOLSO 728 Y 380 GALONES JET A-1 AERON"/>
    <n v="0"/>
    <n v="0"/>
    <n v="0"/>
  </r>
  <r>
    <x v="4"/>
    <x v="4"/>
    <s v="01/06/2022"/>
    <x v="9"/>
    <s v="01/06/2022"/>
    <n v="8688"/>
    <s v="FC#119695 PANAMERIC.LIFE SEG VIDA Y ASISTENCIA MED"/>
    <n v="0"/>
    <n v="0"/>
    <n v="0"/>
  </r>
  <r>
    <x v="4"/>
    <x v="4"/>
    <s v="01/06/2022"/>
    <x v="9"/>
    <s v="01/06/2022"/>
    <n v="8689"/>
    <s v="FC#19735 HOSPEDAJE 31 MAY/2022 DEL CASTILLO PAUL"/>
    <n v="0"/>
    <n v="0"/>
    <n v="0"/>
  </r>
  <r>
    <x v="4"/>
    <x v="4"/>
    <s v="01/06/2022"/>
    <x v="9"/>
    <s v="01/06/2022"/>
    <n v="8690"/>
    <s v="FC#19794 HOSPEDAJE 31 MAY/2022 RODAS GUILLERMO"/>
    <n v="0"/>
    <n v="0"/>
    <n v="0"/>
  </r>
  <r>
    <x v="4"/>
    <x v="4"/>
    <s v="01/06/2022"/>
    <x v="9"/>
    <s v="01/06/2022"/>
    <n v="8691"/>
    <s v="FC#19719 HOSPEDAJE 31 MAY/2022 SERRANO DIEGO"/>
    <n v="0"/>
    <n v="0"/>
    <n v="0"/>
  </r>
  <r>
    <x v="4"/>
    <x v="4"/>
    <s v="01/06/2022"/>
    <x v="9"/>
    <s v="01/06/2022"/>
    <n v="8692"/>
    <s v="FC#170718 REEM BOLETOS AEREOS FARFAN MARCO"/>
    <n v="0"/>
    <n v="0"/>
    <n v="0"/>
  </r>
  <r>
    <x v="4"/>
    <x v="4"/>
    <s v="01/06/2022"/>
    <x v="9"/>
    <s v="01/06/2022"/>
    <n v="8693"/>
    <s v="FC#170720 REEM BOLETOS AEREOS FARFAN MARCO"/>
    <n v="0"/>
    <n v="0"/>
    <n v="0"/>
  </r>
  <r>
    <x v="4"/>
    <x v="4"/>
    <s v="01/06/2022"/>
    <x v="9"/>
    <s v="01/06/2022"/>
    <n v="8750"/>
    <s v="FC#119694 PANAMERIC.LIFE SEG VIDA Y ASISTENCIA MED"/>
    <n v="0"/>
    <n v="0"/>
    <n v="0"/>
  </r>
  <r>
    <x v="4"/>
    <x v="4"/>
    <s v="02/06/2022"/>
    <x v="9"/>
    <s v="02/06/2022"/>
    <n v="8685"/>
    <s v="FC#5856 ATENCION VUEVLO 07/05/22 Y 31/05/2022  N24"/>
    <n v="0"/>
    <n v="0"/>
    <n v="0"/>
  </r>
  <r>
    <x v="4"/>
    <x v="4"/>
    <s v="02/06/2022"/>
    <x v="9"/>
    <s v="02/06/2022"/>
    <n v="8694"/>
    <s v="FC#170804 REEM BOLETOS AEREOS SERRANO DIEGO"/>
    <n v="0"/>
    <n v="0"/>
    <n v="0"/>
  </r>
  <r>
    <x v="4"/>
    <x v="4"/>
    <s v="02/06/2022"/>
    <x v="9"/>
    <s v="02/06/2022"/>
    <n v="8695"/>
    <s v="FC#170805 FEE TKTS BOLETOS AEREOS SERRANO DIEGO"/>
    <n v="0"/>
    <n v="0"/>
    <n v="0"/>
  </r>
  <r>
    <x v="4"/>
    <x v="4"/>
    <s v="02/06/2022"/>
    <x v="9"/>
    <s v="02/06/2022"/>
    <n v="8696"/>
    <s v="FC#170801 REEM BOLETOS AEREOS QUISHPE JAVIER"/>
    <n v="0"/>
    <n v="0"/>
    <n v="0"/>
  </r>
  <r>
    <x v="4"/>
    <x v="4"/>
    <s v="02/06/2022"/>
    <x v="9"/>
    <s v="02/06/2022"/>
    <n v="8697"/>
    <s v="FC#170803 FEE TKTS BOLETOS AEREOS QUISHPE JAVIER"/>
    <n v="0"/>
    <n v="0"/>
    <n v="0"/>
  </r>
  <r>
    <x v="4"/>
    <x v="4"/>
    <s v="02/06/2022"/>
    <x v="9"/>
    <s v="02/06/2022"/>
    <n v="8698"/>
    <s v="FC#170790 REEM BOLETOS AEREOS SERRANO DIEGO"/>
    <n v="0"/>
    <n v="0"/>
    <n v="0"/>
  </r>
  <r>
    <x v="4"/>
    <x v="4"/>
    <s v="02/06/2022"/>
    <x v="9"/>
    <s v="02/06/2022"/>
    <n v="8699"/>
    <s v="FC#170791 FEE TKTS BOLETOS AEREOS SERRANO DIEGO"/>
    <n v="0"/>
    <n v="0"/>
    <n v="0"/>
  </r>
  <r>
    <x v="4"/>
    <x v="4"/>
    <s v="02/06/2022"/>
    <x v="9"/>
    <s v="02/06/2022"/>
    <n v="8754"/>
    <s v="FC#5898 ATENCION VUELO 01/06/26 Y 02/06/2022  N245"/>
    <n v="0"/>
    <n v="0"/>
    <n v="0"/>
  </r>
  <r>
    <x v="4"/>
    <x v="4"/>
    <s v="02/06/2022"/>
    <x v="9"/>
    <s v="02/06/2022"/>
    <n v="8774"/>
    <s v="FC#103783 PETROECUADOR ADQUISICION 41 GALONES JET"/>
    <n v="0"/>
    <n v="0"/>
    <n v="0"/>
  </r>
  <r>
    <x v="4"/>
    <x v="4"/>
    <s v="13/07/2022"/>
    <x v="5"/>
    <s v="13/06/2022"/>
    <n v="8777"/>
    <s v="FC#3593 REEM CONSUMO CELULAR MAYO 2022"/>
    <n v="0"/>
    <n v="0"/>
    <n v="0"/>
  </r>
  <r>
    <x v="4"/>
    <x v="4"/>
    <s v="22/07/2022"/>
    <x v="5"/>
    <s v="22/06/2022"/>
    <n v="8752"/>
    <s v="FC#72487TAGSA USO INSTALACIONES COMBUSTIBLE HC CVK"/>
    <n v="0"/>
    <n v="0"/>
    <n v="0"/>
  </r>
  <r>
    <x v="4"/>
    <x v="4"/>
    <s v="24/06/2022"/>
    <x v="9"/>
    <s v="24/06/2022"/>
    <n v="8775"/>
    <s v="FC#103783 PETROECUADOR ADQUISICION 25 GALONES JET"/>
    <n v="0"/>
    <n v="0"/>
    <n v="0"/>
  </r>
  <r>
    <x v="4"/>
    <x v="4"/>
    <s v="24/06/2022"/>
    <x v="9"/>
    <s v="24/06/2022"/>
    <n v="8776"/>
    <s v="FC#105353 PETROECUADOR ADQUISICION 74 GALONES JET"/>
    <n v="0"/>
    <n v="0"/>
    <n v="0"/>
  </r>
  <r>
    <x v="4"/>
    <x v="4"/>
    <s v="01/08/2022"/>
    <x v="6"/>
    <s v="30/06/2022"/>
    <n v="8778"/>
    <s v="FC#523 MADIRT. REEMB SISTEMA DATA LIFE JUNIO 2022"/>
    <n v="0"/>
    <n v="0"/>
    <n v="0"/>
  </r>
  <r>
    <x v="4"/>
    <x v="4"/>
    <s v="01/08/2022"/>
    <x v="6"/>
    <s v="30/06/2022"/>
    <n v="8779"/>
    <s v="FC#527 MADIRT REEMB ARRIENDO SISTEMA SAP SIGLO JUN"/>
    <n v="0"/>
    <n v="0"/>
    <n v="0"/>
  </r>
  <r>
    <x v="4"/>
    <x v="4"/>
    <s v="30/06/2022"/>
    <x v="9"/>
    <s v="30/06/2022"/>
    <n v="8780"/>
    <s v="FC#12656134 COMISIONES Y CARGOS BANCARIOS JUNIO 20"/>
    <n v="0"/>
    <n v="0"/>
    <n v="0"/>
  </r>
  <r>
    <x v="4"/>
    <x v="4"/>
    <s v="01/08/2022"/>
    <x v="6"/>
    <s v="01/07/2022"/>
    <n v="8805"/>
    <s v="FC#9331 SERV.SEGURIDAD NACIONAL Y TASA SALIDA PASA"/>
    <n v="0"/>
    <n v="0"/>
    <n v="0"/>
  </r>
  <r>
    <x v="4"/>
    <x v="4"/>
    <s v="01/07/2022"/>
    <x v="5"/>
    <s v="01/07/2022"/>
    <n v="8816"/>
    <s v="FC#532 ATENCION VUELO 27/12/2021 N751SJ ECUACENTAI"/>
    <n v="0"/>
    <n v="0"/>
    <n v="0"/>
  </r>
  <r>
    <x v="4"/>
    <x v="4"/>
    <s v="01/07/2022"/>
    <x v="5"/>
    <s v="01/07/2022"/>
    <n v="8818"/>
    <s v="FC#4953 ATENCION VUEVLO 26/12/21  N245FH ECUACENTA"/>
    <n v="0"/>
    <n v="0"/>
    <n v="0"/>
  </r>
  <r>
    <x v="4"/>
    <x v="4"/>
    <s v="01/07/2022"/>
    <x v="5"/>
    <s v="01/07/2022"/>
    <n v="8819"/>
    <s v="FC#4955 ATENCION VUELO DEL 26/12/21 AL 27/12/21 N7"/>
    <n v="0"/>
    <n v="0"/>
    <n v="0"/>
  </r>
  <r>
    <x v="4"/>
    <x v="4"/>
    <s v="01/07/2022"/>
    <x v="5"/>
    <s v="01/07/2022"/>
    <n v="8820"/>
    <s v="FC#4978 ATENCION VUELO 02/01/22 AL 03/01/22 N751SJ"/>
    <n v="0"/>
    <n v="0"/>
    <n v="0"/>
  </r>
  <r>
    <x v="4"/>
    <x v="4"/>
    <s v="01/07/2022"/>
    <x v="5"/>
    <s v="01/07/2022"/>
    <n v="8821"/>
    <s v="FC#4993 ATENCION VUELO 05/01/2022 N751SJ ECUACENTA"/>
    <n v="0"/>
    <n v="0"/>
    <n v="0"/>
  </r>
  <r>
    <x v="4"/>
    <x v="4"/>
    <s v="01/07/2022"/>
    <x v="5"/>
    <s v="01/07/2022"/>
    <n v="8823"/>
    <s v="FC#53 ALCANCE FC#32 ATENCION VUELO 27/12/2021 N751"/>
    <n v="0"/>
    <n v="0"/>
    <n v="0"/>
  </r>
  <r>
    <x v="4"/>
    <x v="4"/>
    <s v="01/07/2022"/>
    <x v="5"/>
    <s v="01/07/2022"/>
    <n v="8824"/>
    <s v="FC#54 ATENCION VUELO 14/02/2022 - 16/02/2022 N245F"/>
    <n v="0"/>
    <n v="0"/>
    <n v="0"/>
  </r>
  <r>
    <x v="4"/>
    <x v="4"/>
    <s v="01/07/2022"/>
    <x v="5"/>
    <s v="01/07/2022"/>
    <n v="8825"/>
    <s v="FC#63 ATENCION VUELO 25/02/2022 N245FH ECUACENTAIR"/>
    <n v="0"/>
    <n v="0"/>
    <n v="0"/>
  </r>
  <r>
    <x v="4"/>
    <x v="4"/>
    <s v="01/07/2022"/>
    <x v="5"/>
    <s v="01/07/2022"/>
    <n v="8826"/>
    <s v="FC#5264 ATENCION VUELO 18/02/2022 - 20/02/2022 HCC"/>
    <n v="0"/>
    <n v="0"/>
    <n v="0"/>
  </r>
  <r>
    <x v="4"/>
    <x v="4"/>
    <s v="01/07/2022"/>
    <x v="5"/>
    <s v="01/07/2022"/>
    <n v="8827"/>
    <s v="FC#5265 ATENCION VUELO 20/02/2022 - 21/02/2022 HCC"/>
    <n v="0"/>
    <n v="0"/>
    <n v="0"/>
  </r>
  <r>
    <x v="4"/>
    <x v="4"/>
    <s v="01/07/2022"/>
    <x v="5"/>
    <s v="01/07/2022"/>
    <n v="8829"/>
    <s v="FC#82 ATENCION VUELO 27/03/2022 - 28/03/2022 N245F"/>
    <n v="0"/>
    <n v="0"/>
    <n v="0"/>
  </r>
  <r>
    <x v="4"/>
    <x v="4"/>
    <s v="01/07/2022"/>
    <x v="5"/>
    <s v="01/07/2022"/>
    <n v="8830"/>
    <s v="FC#90 ATENCION VUELO 12/04/2022 - 13/04/2022 N245F"/>
    <n v="0"/>
    <n v="0"/>
    <n v="0"/>
  </r>
  <r>
    <x v="4"/>
    <x v="4"/>
    <s v="01/07/2022"/>
    <x v="5"/>
    <s v="01/07/2022"/>
    <n v="8831"/>
    <s v="FC#108 ATENCION VUELO 31/05/2022 - 01/06/2022 N245"/>
    <n v="0"/>
    <n v="0"/>
    <n v="0"/>
  </r>
  <r>
    <x v="4"/>
    <x v="4"/>
    <s v="01/07/2022"/>
    <x v="5"/>
    <s v="01/07/2022"/>
    <n v="8833"/>
    <s v="FC#5987 ATENCION VUELO 12/06/2022 - 17/06/2022 N24"/>
    <n v="0"/>
    <n v="0"/>
    <n v="0"/>
  </r>
  <r>
    <x v="4"/>
    <x v="4"/>
    <s v="01/07/2022"/>
    <x v="5"/>
    <s v="01/07/2022"/>
    <n v="8849"/>
    <s v="REEMB GASTOS REPOSICION CAJA CH N° 055 PV"/>
    <n v="0"/>
    <n v="0"/>
    <n v="0"/>
  </r>
  <r>
    <x v="4"/>
    <x v="4"/>
    <s v="01/07/2022"/>
    <x v="5"/>
    <s v="01/07/2022"/>
    <n v="8850"/>
    <s v="REEMB GASTOS REPOSICION CAJA CH N° 055 XB"/>
    <n v="0"/>
    <n v="0"/>
    <n v="0"/>
  </r>
  <r>
    <x v="4"/>
    <x v="4"/>
    <s v="01/07/2022"/>
    <x v="5"/>
    <s v="01/07/2022"/>
    <n v="8851"/>
    <s v="REEMB GASTOS REPOSICION CAJA CH N° 055 LC"/>
    <n v="0"/>
    <n v="0"/>
    <n v="0"/>
  </r>
  <r>
    <x v="4"/>
    <x v="4"/>
    <s v="01/07/2022"/>
    <x v="5"/>
    <s v="01/07/2022"/>
    <n v="8855"/>
    <s v="REEMB GASTOS REPOSICION CAJA CH N° 057 JQ"/>
    <n v="0"/>
    <n v="0"/>
    <n v="0"/>
  </r>
  <r>
    <x v="4"/>
    <x v="4"/>
    <s v="01/07/2022"/>
    <x v="5"/>
    <s v="01/07/2022"/>
    <n v="8856"/>
    <s v="REEMB GASTOS REPOSICION CAJA CH N° 057 XB"/>
    <n v="0"/>
    <n v="0"/>
    <n v="0"/>
  </r>
  <r>
    <x v="4"/>
    <x v="4"/>
    <s v="01/08/2022"/>
    <x v="6"/>
    <s v="01/07/2022"/>
    <n v="8858"/>
    <s v="REEMB GASTOS REPOSICION CAJA CH N° 058 DS"/>
    <n v="0"/>
    <n v="0"/>
    <n v="0"/>
  </r>
  <r>
    <x v="4"/>
    <x v="4"/>
    <s v="01/07/2022"/>
    <x v="5"/>
    <s v="01/07/2022"/>
    <n v="8859"/>
    <s v="REEMB GASTOS REPOSICION CAJA CH N° 058 XB"/>
    <n v="0"/>
    <n v="0"/>
    <n v="0"/>
  </r>
  <r>
    <x v="4"/>
    <x v="4"/>
    <s v="01/07/2022"/>
    <x v="5"/>
    <s v="01/07/2022"/>
    <n v="8860"/>
    <s v="REEMB GASTOS REPOSICION CAJA CH N° 058 JQ"/>
    <n v="0"/>
    <n v="0"/>
    <n v="0"/>
  </r>
  <r>
    <x v="4"/>
    <x v="4"/>
    <s v="01/07/2022"/>
    <x v="5"/>
    <s v="01/07/2022"/>
    <n v="8862"/>
    <s v="REG REPOSICION DE GASTOS AL 03/06/2022 JQ"/>
    <n v="0"/>
    <n v="0"/>
    <n v="0"/>
  </r>
  <r>
    <x v="4"/>
    <x v="4"/>
    <s v="01/07/2022"/>
    <x v="5"/>
    <s v="01/07/2022"/>
    <n v="8864"/>
    <s v="REPOSICION GASTOS DE VIAJE DIEGO SERRANO 06/06/202"/>
    <n v="0"/>
    <n v="0"/>
    <n v="0"/>
  </r>
  <r>
    <x v="4"/>
    <x v="4"/>
    <s v="01/08/2022"/>
    <x v="6"/>
    <s v="01/07/2022"/>
    <n v="8884"/>
    <s v="REPOSICION GASTOS DE VIAJE DIEGO SERRANO 27/05/202"/>
    <n v="0"/>
    <n v="0"/>
    <n v="0"/>
  </r>
  <r>
    <x v="4"/>
    <x v="4"/>
    <s v="01/07/2022"/>
    <x v="5"/>
    <s v="01/07/2022"/>
    <n v="8895"/>
    <s v="FC#302 REPOS GTOS 28-29 MAY/2022 M.FARFAN"/>
    <n v="0"/>
    <n v="0"/>
    <n v="0"/>
  </r>
  <r>
    <x v="4"/>
    <x v="4"/>
    <s v="01/08/2022"/>
    <x v="6"/>
    <s v="01/07/2022"/>
    <n v="8897"/>
    <s v="REPOSICION GASTOS DE VIAJE DIEGO SERRANO 07/04/202"/>
    <n v="0"/>
    <n v="0"/>
    <n v="0"/>
  </r>
  <r>
    <x v="4"/>
    <x v="4"/>
    <s v="01/07/2022"/>
    <x v="5"/>
    <s v="01/07/2022"/>
    <n v="8899"/>
    <s v="FC#64741 MODIFICACION CONCESION PERMISO DE OPERACI"/>
    <n v="0"/>
    <n v="0"/>
    <n v="0"/>
  </r>
  <r>
    <x v="4"/>
    <x v="4"/>
    <s v="01/07/2022"/>
    <x v="5"/>
    <s v="01/07/2022"/>
    <n v="9014"/>
    <s v="Factura de proveedores - Cancelación - PN179243166"/>
    <n v="0"/>
    <n v="0"/>
    <n v="0"/>
  </r>
  <r>
    <x v="4"/>
    <x v="4"/>
    <s v="01/07/2022"/>
    <x v="5"/>
    <s v="01/07/2022"/>
    <n v="9015"/>
    <s v="Factura de proveedores - Cancelación - PN179243166"/>
    <n v="0"/>
    <n v="0"/>
    <n v="0"/>
  </r>
  <r>
    <x v="4"/>
    <x v="4"/>
    <s v="01/07/2022"/>
    <x v="5"/>
    <s v="01/07/2022"/>
    <n v="9016"/>
    <s v="Factura de proveedores - Cancelación - PN179243166"/>
    <n v="0"/>
    <n v="0"/>
    <n v="0"/>
  </r>
  <r>
    <x v="4"/>
    <x v="4"/>
    <s v="01/07/2022"/>
    <x v="5"/>
    <s v="01/07/2022"/>
    <n v="9017"/>
    <s v="FC#82 ATENCION VUELO 27/03/2022 - 28/03/2022 N245F"/>
    <n v="0"/>
    <n v="0"/>
    <n v="0"/>
  </r>
  <r>
    <x v="4"/>
    <x v="4"/>
    <s v="01/07/2022"/>
    <x v="5"/>
    <s v="01/07/2022"/>
    <n v="9018"/>
    <s v="FC#90 ATENCION VUELO 12/04/2022 - 13/04/2022 N245F"/>
    <n v="0"/>
    <n v="0"/>
    <n v="0"/>
  </r>
  <r>
    <x v="4"/>
    <x v="4"/>
    <s v="01/07/2022"/>
    <x v="5"/>
    <s v="01/07/2022"/>
    <n v="9019"/>
    <s v="FC#63 ATENCION VUELO 25/02/2022 N245FH ECUACENTAIR"/>
    <n v="0"/>
    <n v="0"/>
    <n v="0"/>
  </r>
  <r>
    <x v="4"/>
    <x v="4"/>
    <s v="01/07/2022"/>
    <x v="5"/>
    <s v="01/07/2022"/>
    <n v="9020"/>
    <s v="Factura de proveedores - Cancelación - PN179243166"/>
    <n v="0"/>
    <n v="0"/>
    <n v="0"/>
  </r>
  <r>
    <x v="4"/>
    <x v="4"/>
    <s v="01/07/2022"/>
    <x v="5"/>
    <s v="01/07/2022"/>
    <n v="9021"/>
    <s v="FC#63 ATENCION VUELO 25/02/2022 N245FH ECUACENTAIR"/>
    <n v="0"/>
    <n v="0"/>
    <n v="0"/>
  </r>
  <r>
    <x v="4"/>
    <x v="4"/>
    <s v="01/07/2022"/>
    <x v="5"/>
    <s v="01/07/2022"/>
    <n v="9022"/>
    <s v="Factura de proveedores - Cancelación - PN179243166"/>
    <n v="0"/>
    <n v="0"/>
    <n v="0"/>
  </r>
  <r>
    <x v="4"/>
    <x v="4"/>
    <s v="01/07/2022"/>
    <x v="5"/>
    <s v="01/07/2022"/>
    <n v="9023"/>
    <s v="FC#82 ATENCION VUELO 27/03/2022 - 28/03/2022 N245F"/>
    <n v="0"/>
    <n v="0"/>
    <n v="0"/>
  </r>
  <r>
    <x v="4"/>
    <x v="4"/>
    <s v="01/07/2022"/>
    <x v="5"/>
    <s v="01/07/2022"/>
    <n v="9024"/>
    <s v="Factura de proveedores - Cancelación - PN179243166"/>
    <n v="0"/>
    <n v="0"/>
    <n v="0"/>
  </r>
  <r>
    <x v="4"/>
    <x v="4"/>
    <s v="01/07/2022"/>
    <x v="5"/>
    <s v="01/07/2022"/>
    <n v="9025"/>
    <s v="FC#90 ATENCION VUELO 12/04/2022 - 13/04/2022 N245F"/>
    <n v="0"/>
    <n v="0"/>
    <n v="0"/>
  </r>
  <r>
    <x v="4"/>
    <x v="4"/>
    <s v="04/07/2022"/>
    <x v="5"/>
    <s v="04/07/2022"/>
    <n v="8801"/>
    <s v="FC#121767 PANAMERIC.LIFE SEG VIDA Y ASISTENCIA MED"/>
    <n v="0"/>
    <n v="0"/>
    <n v="0"/>
  </r>
  <r>
    <x v="4"/>
    <x v="4"/>
    <s v="04/07/2022"/>
    <x v="5"/>
    <s v="04/07/2022"/>
    <n v="8802"/>
    <s v="FC#119694 PANAMERIC.LIFE SEG VIDA Y ASISTENCIA MED"/>
    <n v="0"/>
    <n v="0"/>
    <n v="0"/>
  </r>
  <r>
    <x v="4"/>
    <x v="4"/>
    <s v="05/08/2022"/>
    <x v="6"/>
    <s v="05/07/2022"/>
    <n v="8869"/>
    <s v="FC#72758 TAGSA USO INSTALACIONES COMBUSTIBLE HC CV"/>
    <n v="0"/>
    <n v="0"/>
    <n v="0"/>
  </r>
  <r>
    <x v="4"/>
    <x v="4"/>
    <s v="08/08/2022"/>
    <x v="6"/>
    <s v="06/07/2022"/>
    <n v="8870"/>
    <s v="FC#9490 SERV.SEGURIDAD NACIONAL Y TASA SALIDA PASA"/>
    <n v="0"/>
    <n v="0"/>
    <n v="0"/>
  </r>
  <r>
    <x v="4"/>
    <x v="4"/>
    <s v="06/07/2022"/>
    <x v="5"/>
    <s v="06/07/2022"/>
    <n v="8960"/>
    <s v="FC#29970 REEMBOLSO 460 GALONES JET A-1 AERONAVE N2"/>
    <n v="0"/>
    <n v="0"/>
    <n v="0"/>
  </r>
  <r>
    <x v="4"/>
    <x v="4"/>
    <s v="06/07/2022"/>
    <x v="5"/>
    <s v="06/07/2022"/>
    <n v="8961"/>
    <s v="FC#29971 REEMBOLSO 565 GALONES JET A-1 AERONAVE N2"/>
    <n v="0"/>
    <n v="0"/>
    <n v="0"/>
  </r>
  <r>
    <x v="4"/>
    <x v="4"/>
    <s v="06/07/2022"/>
    <x v="5"/>
    <s v="06/07/2022"/>
    <n v="8962"/>
    <s v="FC#29972 REEMBOLSO 716 GALONES JET A-1 AERONAVE N2"/>
    <n v="0"/>
    <n v="0"/>
    <n v="0"/>
  </r>
  <r>
    <x v="4"/>
    <x v="4"/>
    <s v="06/07/2022"/>
    <x v="5"/>
    <s v="06/07/2022"/>
    <n v="8964"/>
    <s v="FC#29973 REEMBOLSO CONSUMO ENERGIA ELECTRICA DEL 1"/>
    <n v="0"/>
    <n v="0"/>
    <n v="0"/>
  </r>
  <r>
    <x v="4"/>
    <x v="4"/>
    <s v="07/07/2022"/>
    <x v="5"/>
    <s v="07/07/2022"/>
    <n v="8803"/>
    <s v="FC#65176 EXAMEN MEDICO CLASE 1 GUILLERMO RODAS"/>
    <n v="0"/>
    <n v="0"/>
    <n v="0"/>
  </r>
  <r>
    <x v="4"/>
    <x v="4"/>
    <s v="07/07/2022"/>
    <x v="5"/>
    <s v="07/07/2022"/>
    <n v="8868"/>
    <s v="FC#20820 HOSPEDAJE 05 JUL 2022 SERRANO DIEGO"/>
    <n v="0"/>
    <n v="0"/>
    <n v="0"/>
  </r>
  <r>
    <x v="4"/>
    <x v="4"/>
    <s v="07/07/2022"/>
    <x v="5"/>
    <s v="07/07/2022"/>
    <n v="8873"/>
    <s v="FC#171987 REEM BOLETOS AEREOS SERRANO DIEGO-RODAS"/>
    <n v="0"/>
    <n v="0"/>
    <n v="0"/>
  </r>
  <r>
    <x v="4"/>
    <x v="4"/>
    <s v="07/07/2022"/>
    <x v="5"/>
    <s v="07/07/2022"/>
    <n v="8874"/>
    <s v="FC#171988 FEE TKTS BOLETOS AEREOS SERRANO DIEGO-RO"/>
    <n v="0"/>
    <n v="0"/>
    <n v="0"/>
  </r>
  <r>
    <x v="4"/>
    <x v="4"/>
    <s v="07/07/2022"/>
    <x v="5"/>
    <s v="07/07/2022"/>
    <n v="8875"/>
    <s v="FC#172002 REEM BOLETOS AEREOS SERRANO DIEGO"/>
    <n v="0"/>
    <n v="0"/>
    <n v="0"/>
  </r>
  <r>
    <x v="4"/>
    <x v="4"/>
    <s v="11/07/2022"/>
    <x v="5"/>
    <s v="09/07/2022"/>
    <n v="8806"/>
    <s v="FC#20908 HOSPEDAJE ORO VERDE DEL 04/07 AL 09/07 RO"/>
    <n v="0"/>
    <n v="0"/>
    <n v="0"/>
  </r>
  <r>
    <x v="4"/>
    <x v="4"/>
    <s v="11/07/2022"/>
    <x v="5"/>
    <s v="11/07/2022"/>
    <n v="8871"/>
    <s v="FC#172123 REEM BOLETOS AEREOS BENAVIDES XIMENA"/>
    <n v="0"/>
    <n v="0"/>
    <n v="0"/>
  </r>
  <r>
    <x v="4"/>
    <x v="4"/>
    <s v="11/07/2022"/>
    <x v="5"/>
    <s v="11/07/2022"/>
    <n v="8872"/>
    <s v="FC#172124 FEE TKTS BOLETOS AEREOS BENAVIDES XIMENA"/>
    <n v="0"/>
    <n v="0"/>
    <n v="0"/>
  </r>
  <r>
    <x v="4"/>
    <x v="4"/>
    <s v="11/07/2022"/>
    <x v="5"/>
    <s v="11/07/2022"/>
    <n v="8903"/>
    <s v="FC#39 CURSO INICIAL MERC PELIGROSAS-SEG AVIACION S"/>
    <n v="0"/>
    <n v="0"/>
    <n v="0"/>
  </r>
  <r>
    <x v="4"/>
    <x v="4"/>
    <s v="11/07/2022"/>
    <x v="5"/>
    <s v="11/07/2022"/>
    <n v="8904"/>
    <s v="Factura de proveedores - Cancelación - PN140024066"/>
    <n v="0"/>
    <n v="0"/>
    <n v="0"/>
  </r>
  <r>
    <x v="4"/>
    <x v="4"/>
    <s v="15/08/2022"/>
    <x v="6"/>
    <s v="13/07/2022"/>
    <n v="8814"/>
    <s v="FC#3649 REEM CONSUMO CELULAR JUNIO 2022"/>
    <n v="0"/>
    <n v="0"/>
    <n v="0"/>
  </r>
  <r>
    <x v="4"/>
    <x v="4"/>
    <s v="15/08/2022"/>
    <x v="6"/>
    <s v="15/07/2022"/>
    <n v="8866"/>
    <s v="REPOSICION GASTOS DE VIAJE DIEGO SERRANO 15/07/202"/>
    <n v="0"/>
    <n v="0"/>
    <n v="0"/>
  </r>
  <r>
    <x v="4"/>
    <x v="4"/>
    <s v="19/07/2022"/>
    <x v="5"/>
    <s v="19/07/2022"/>
    <n v="8965"/>
    <s v="FC#29974 REEMBOLSO CONSUMO ENERGIA ELECTRICA DEL 1"/>
    <n v="0"/>
    <n v="0"/>
    <n v="0"/>
  </r>
  <r>
    <x v="4"/>
    <x v="4"/>
    <s v="19/07/2022"/>
    <x v="5"/>
    <s v="19/07/2022"/>
    <n v="9063"/>
    <s v="REEMB GASTOS REPOSICION CAJA CH N° 059 PV"/>
    <n v="0"/>
    <n v="0"/>
    <n v="0"/>
  </r>
  <r>
    <x v="4"/>
    <x v="4"/>
    <s v="19/07/2022"/>
    <x v="5"/>
    <s v="19/07/2022"/>
    <n v="9072"/>
    <s v="Factura de proveedores - Cancelación - PN090925363"/>
    <n v="0"/>
    <n v="0"/>
    <n v="0"/>
  </r>
  <r>
    <x v="4"/>
    <x v="4"/>
    <s v="21/07/2022"/>
    <x v="5"/>
    <s v="21/07/2022"/>
    <n v="8807"/>
    <s v="FC#172557 REEM BOLETOS AEREOS CASTILLO PAUL - RODA"/>
    <n v="0"/>
    <n v="0"/>
    <n v="0"/>
  </r>
  <r>
    <x v="4"/>
    <x v="4"/>
    <s v="21/07/2022"/>
    <x v="5"/>
    <s v="21/07/2022"/>
    <n v="8808"/>
    <s v="FC#172558 FEE TKTS BOLETOS AEREOS CASTILLO PAUL -"/>
    <n v="0"/>
    <n v="0"/>
    <n v="0"/>
  </r>
  <r>
    <x v="4"/>
    <x v="4"/>
    <s v="21/07/2022"/>
    <x v="5"/>
    <s v="21/07/2022"/>
    <n v="8837"/>
    <s v="FC#6287 ATENCION VUELO 29 AGO - 01 SEP N245FH ECUA"/>
    <n v="0"/>
    <n v="0"/>
    <n v="0"/>
  </r>
  <r>
    <x v="4"/>
    <x v="4"/>
    <s v="21/07/2022"/>
    <x v="5"/>
    <s v="21/07/2022"/>
    <n v="8838"/>
    <s v="FC#6288 ATENCION VUELO 28 SEP - 08 OCT N245FH ECUA"/>
    <n v="0"/>
    <n v="0"/>
    <n v="0"/>
  </r>
  <r>
    <x v="4"/>
    <x v="4"/>
    <s v="21/07/2022"/>
    <x v="5"/>
    <s v="21/07/2022"/>
    <n v="8839"/>
    <s v="FC#6289 ATENCION VUELO 11/10/21 - 13/10/21 N245FH"/>
    <n v="0"/>
    <n v="0"/>
    <n v="0"/>
  </r>
  <r>
    <x v="4"/>
    <x v="4"/>
    <s v="21/07/2022"/>
    <x v="5"/>
    <s v="21/07/2022"/>
    <n v="8840"/>
    <s v="FC#6290 ATENCION VUELO 14/10/21 - 21/10/21 N245FH"/>
    <n v="0"/>
    <n v="0"/>
    <n v="0"/>
  </r>
  <r>
    <x v="4"/>
    <x v="4"/>
    <s v="21/07/2022"/>
    <x v="5"/>
    <s v="21/07/2022"/>
    <n v="8843"/>
    <s v="FC#120 ATENCION VUELO 13/10/2021 - 14/10/2021 N245"/>
    <n v="0"/>
    <n v="0"/>
    <n v="0"/>
  </r>
  <r>
    <x v="4"/>
    <x v="4"/>
    <s v="21/07/2022"/>
    <x v="5"/>
    <s v="21/07/2022"/>
    <n v="8844"/>
    <s v="FC#121 ATENCION VUELO 21/10/2021  N245FH ECUACENTA"/>
    <n v="0"/>
    <n v="0"/>
    <n v="0"/>
  </r>
  <r>
    <x v="4"/>
    <x v="4"/>
    <s v="21/07/2022"/>
    <x v="5"/>
    <s v="21/07/2022"/>
    <n v="8845"/>
    <s v="FC#122 ATENCION VUELO 29/10/2021 N245FH ECUACENTAI"/>
    <n v="0"/>
    <n v="0"/>
    <n v="0"/>
  </r>
  <r>
    <x v="4"/>
    <x v="4"/>
    <s v="21/07/2022"/>
    <x v="5"/>
    <s v="21/07/2022"/>
    <n v="8974"/>
    <s v="Factura de proveedores - Cancelación - PN179243166"/>
    <n v="0"/>
    <n v="0"/>
    <n v="0"/>
  </r>
  <r>
    <x v="4"/>
    <x v="4"/>
    <s v="22/07/2022"/>
    <x v="5"/>
    <s v="22/07/2022"/>
    <n v="8809"/>
    <s v="FC#172590 REEM BOLETOS AEREOS SERRANO DIEGO-FARFAN"/>
    <n v="0"/>
    <n v="0"/>
    <n v="0"/>
  </r>
  <r>
    <x v="4"/>
    <x v="4"/>
    <s v="22/07/2022"/>
    <x v="5"/>
    <s v="22/07/2022"/>
    <n v="8810"/>
    <s v="FC#172591 FEE TKTS BOLETOS AEREOS SERRANO DIEGO-FA"/>
    <n v="0"/>
    <n v="0"/>
    <n v="0"/>
  </r>
  <r>
    <x v="4"/>
    <x v="4"/>
    <s v="22/07/2022"/>
    <x v="5"/>
    <s v="22/07/2022"/>
    <n v="8811"/>
    <s v="FC#172592 REEM BOLETOS AEREOS QUISHPE JAVIER"/>
    <n v="0"/>
    <n v="0"/>
    <n v="0"/>
  </r>
  <r>
    <x v="4"/>
    <x v="4"/>
    <s v="22/07/2022"/>
    <x v="5"/>
    <s v="22/07/2022"/>
    <n v="8812"/>
    <s v="FC#172593 FEE TKTS BOLETOS AEREOS QUISHPE JAVIER"/>
    <n v="0"/>
    <n v="0"/>
    <n v="0"/>
  </r>
  <r>
    <x v="4"/>
    <x v="4"/>
    <s v="22/07/2022"/>
    <x v="5"/>
    <s v="22/07/2022"/>
    <n v="8813"/>
    <s v="FC#172594 REEM BOLETOS AEREOS QUISHPE JAVIER-SERRA"/>
    <n v="0"/>
    <n v="0"/>
    <n v="0"/>
  </r>
  <r>
    <x v="4"/>
    <x v="4"/>
    <s v="26/07/2022"/>
    <x v="5"/>
    <s v="26/07/2022"/>
    <n v="8798"/>
    <s v="FC#2165 CHEQUEO HELICOPTERO HC-CVK, PRUEBA ALTIMET"/>
    <n v="0"/>
    <n v="0"/>
    <n v="0"/>
  </r>
  <r>
    <x v="4"/>
    <x v="4"/>
    <s v="26/08/2022"/>
    <x v="6"/>
    <s v="26/07/2022"/>
    <n v="8966"/>
    <s v="FC#537 MADIRT. REEMB SISTEMA DATA LIFE JULIO 2022"/>
    <n v="0"/>
    <n v="0"/>
    <n v="0"/>
  </r>
  <r>
    <x v="4"/>
    <x v="4"/>
    <s v="26/08/2022"/>
    <x v="6"/>
    <s v="26/07/2022"/>
    <n v="8967"/>
    <s v="FC#533 MADIRT REEMB ARRIENDO SISTEMA SAP SIGLO JUL"/>
    <n v="0"/>
    <n v="0"/>
    <n v="0"/>
  </r>
  <r>
    <x v="4"/>
    <x v="4"/>
    <s v="28/07/2022"/>
    <x v="5"/>
    <s v="28/07/2022"/>
    <n v="8902"/>
    <s v="FC#172743 REEM BOLETOS AEREOS QUISHPE JAVIER"/>
    <n v="0"/>
    <n v="0"/>
    <n v="0"/>
  </r>
  <r>
    <x v="4"/>
    <x v="4"/>
    <s v="29/08/2022"/>
    <x v="6"/>
    <s v="28/07/2022"/>
    <n v="8939"/>
    <s v="REPOS GASTOS DE VIAJE DIEGO SERRANO 21/07/2022"/>
    <n v="0"/>
    <n v="0"/>
    <n v="0"/>
  </r>
  <r>
    <x v="4"/>
    <x v="4"/>
    <s v="01/08/2022"/>
    <x v="6"/>
    <s v="30/07/2022"/>
    <n v="8963"/>
    <s v="FC#29975 REEMBOLSO 698 GALONES JET A-1 AERONAVE N2"/>
    <n v="0"/>
    <n v="0"/>
    <n v="0"/>
  </r>
  <r>
    <x v="4"/>
    <x v="4"/>
    <s v="01/08/2022"/>
    <x v="6"/>
    <s v="31/07/2022"/>
    <n v="8945"/>
    <s v="FC#12849338 COMISIONES Y CARGOS BANCARIOS JULIO 20"/>
    <n v="0"/>
    <n v="0"/>
    <n v="0"/>
  </r>
  <r>
    <x v="4"/>
    <x v="4"/>
    <s v="01/08/2022"/>
    <x v="6"/>
    <s v="01/08/2022"/>
    <n v="9027"/>
    <s v="FC#123262 PANAMERIC.LIFE SEG VIDA Y ASISTENCIA MED"/>
    <n v="0"/>
    <n v="0"/>
    <n v="0"/>
  </r>
  <r>
    <x v="4"/>
    <x v="4"/>
    <s v="01/08/2022"/>
    <x v="6"/>
    <s v="01/08/2022"/>
    <n v="9029"/>
    <s v="FC#6337 ATENCION VUELO 24/07/2022 - 29/07/2022 N24"/>
    <n v="0"/>
    <n v="0"/>
    <n v="0"/>
  </r>
  <r>
    <x v="4"/>
    <x v="4"/>
    <s v="01/08/2022"/>
    <x v="6"/>
    <s v="01/08/2022"/>
    <n v="9074"/>
    <s v="FC#304 REPOS GTOS 21 AL 24 JUL/2022 M.FARFAN"/>
    <n v="0"/>
    <n v="0"/>
    <n v="0"/>
  </r>
  <r>
    <x v="4"/>
    <x v="4"/>
    <s v="01/08/2022"/>
    <x v="6"/>
    <s v="01/08/2022"/>
    <n v="9076"/>
    <s v="FC#4853 MANO DE OBRA ELECTRICIDAD HANGAR Y OFI VIK"/>
    <n v="0"/>
    <n v="0"/>
    <n v="0"/>
  </r>
  <r>
    <x v="4"/>
    <x v="4"/>
    <s v="01/08/2022"/>
    <x v="6"/>
    <s v="01/08/2022"/>
    <n v="9077"/>
    <s v="FC#770 MANO DE OBRA SALA VIP AEROINSA"/>
    <n v="0"/>
    <n v="0"/>
    <n v="0"/>
  </r>
  <r>
    <x v="4"/>
    <x v="4"/>
    <s v="01/08/2022"/>
    <x v="6"/>
    <s v="01/08/2022"/>
    <n v="9078"/>
    <s v="FC#1727 MANO DE OBRA SALA VIP AEROINSA"/>
    <n v="0"/>
    <n v="0"/>
    <n v="0"/>
  </r>
  <r>
    <x v="4"/>
    <x v="4"/>
    <s v="01/08/2022"/>
    <x v="6"/>
    <s v="01/08/2022"/>
    <n v="9079"/>
    <s v="REG GASTOS MATERIALES ARREGLO HANGAR Y SALA VIP"/>
    <n v="0"/>
    <n v="0"/>
    <n v="0"/>
  </r>
  <r>
    <x v="4"/>
    <x v="4"/>
    <s v="01/08/2022"/>
    <x v="6"/>
    <s v="01/08/2022"/>
    <n v="9080"/>
    <s v="FC#788 MANO DE OBRA PUERTA HANGAR CAMBIO DE BISAGR"/>
    <n v="0"/>
    <n v="0"/>
    <n v="0"/>
  </r>
  <r>
    <x v="4"/>
    <x v="4"/>
    <s v="01/08/2022"/>
    <x v="6"/>
    <s v="01/08/2022"/>
    <n v="9081"/>
    <s v="FC#4854 MANO DE OBRA PUNTOS ELECTRICOS 110V"/>
    <n v="0"/>
    <n v="0"/>
    <n v="0"/>
  </r>
  <r>
    <x v="4"/>
    <x v="4"/>
    <s v="01/08/2022"/>
    <x v="6"/>
    <s v="01/08/2022"/>
    <n v="9116"/>
    <s v="FC#29977 REEMB USO INSTALACIONE COMBUSTIBLE N254GH"/>
    <n v="0"/>
    <n v="0"/>
    <n v="0"/>
  </r>
  <r>
    <x v="4"/>
    <x v="4"/>
    <s v="01/08/2022"/>
    <x v="6"/>
    <s v="01/08/2022"/>
    <n v="9117"/>
    <s v="FC#29978 REEMB USO INSTALACIONE COMBUSTIBLE N254GH"/>
    <n v="0"/>
    <n v="0"/>
    <n v="0"/>
  </r>
  <r>
    <x v="4"/>
    <x v="4"/>
    <s v="02/08/2022"/>
    <x v="6"/>
    <s v="02/08/2022"/>
    <n v="9064"/>
    <s v="REEMB GASTOS REPOSICION CAJA CH N° 059 XB"/>
    <n v="0"/>
    <n v="0"/>
    <n v="0"/>
  </r>
  <r>
    <x v="4"/>
    <x v="4"/>
    <s v="02/08/2022"/>
    <x v="6"/>
    <s v="02/08/2022"/>
    <n v="9065"/>
    <s v="REEMB GASTOS REPOSICION CAJA CH N° 059 JQ"/>
    <n v="0"/>
    <n v="0"/>
    <n v="0"/>
  </r>
  <r>
    <x v="4"/>
    <x v="4"/>
    <s v="02/08/2022"/>
    <x v="6"/>
    <s v="02/08/2022"/>
    <n v="9073"/>
    <s v="REEMB GASTOS REPOSICION CAJA CH N° 059 PV"/>
    <n v="0"/>
    <n v="0"/>
    <n v="0"/>
  </r>
  <r>
    <x v="4"/>
    <x v="4"/>
    <s v="02/08/2022"/>
    <x v="6"/>
    <s v="02/08/2022"/>
    <n v="9084"/>
    <s v="REG GASTO MATERIALES ARREGLO HANGAR Y SALA VIP"/>
    <n v="0"/>
    <n v="0"/>
    <n v="0"/>
  </r>
  <r>
    <x v="4"/>
    <x v="4"/>
    <s v="03/08/2022"/>
    <x v="6"/>
    <s v="03/08/2022"/>
    <n v="9031"/>
    <s v="FC#6383 ATENCION VUELO 02/08/2022 - 03/08/2022 N24"/>
    <n v="0"/>
    <n v="0"/>
    <n v="0"/>
  </r>
  <r>
    <x v="4"/>
    <x v="4"/>
    <s v="04/08/2022"/>
    <x v="6"/>
    <s v="04/08/2022"/>
    <n v="9083"/>
    <s v="FC#749910 MATERIALES ARREGLO SALA VIP"/>
    <n v="0"/>
    <n v="0"/>
    <n v="0"/>
  </r>
  <r>
    <x v="4"/>
    <x v="4"/>
    <s v="04/08/2022"/>
    <x v="6"/>
    <s v="04/08/2022"/>
    <n v="9122"/>
    <s v="FC#29981 REEMBOLSO 350 GALONES JET A-1 AERONAVE N2"/>
    <n v="0"/>
    <n v="0"/>
    <n v="0"/>
  </r>
  <r>
    <x v="4"/>
    <x v="4"/>
    <s v="05/08/2022"/>
    <x v="6"/>
    <s v="05/08/2022"/>
    <n v="9033"/>
    <s v="FC#172995 REEM BOLETOS AEREOS QUISHPE JAVIER"/>
    <n v="0"/>
    <n v="0"/>
    <n v="0"/>
  </r>
  <r>
    <x v="4"/>
    <x v="4"/>
    <s v="05/08/2022"/>
    <x v="6"/>
    <s v="05/08/2022"/>
    <n v="9034"/>
    <s v="FC#172996 FEE TKTS BOLETOS AEREOS QUISHPE JAVIER"/>
    <n v="0"/>
    <n v="0"/>
    <n v="0"/>
  </r>
  <r>
    <x v="4"/>
    <x v="4"/>
    <s v="05/08/2022"/>
    <x v="6"/>
    <s v="05/08/2022"/>
    <n v="9070"/>
    <s v="REPOSICION GASTOS AL 25/07/2022 JQ"/>
    <n v="0"/>
    <n v="0"/>
    <n v="0"/>
  </r>
  <r>
    <x v="4"/>
    <x v="4"/>
    <s v="05/08/2022"/>
    <x v="6"/>
    <s v="05/08/2022"/>
    <n v="9082"/>
    <s v="FC#458 MANO DE OBRA REMODELACION BAÑO Y SALA VIP ("/>
    <n v="0"/>
    <n v="0"/>
    <n v="0"/>
  </r>
  <r>
    <x v="4"/>
    <x v="4"/>
    <s v="05/08/2022"/>
    <x v="6"/>
    <s v="05/08/2022"/>
    <n v="9115"/>
    <s v="FC#123559 PANAMERIC.LIFE SEG VIDA Y ASISTENCIA MED"/>
    <n v="0"/>
    <n v="0"/>
    <n v="0"/>
  </r>
  <r>
    <x v="4"/>
    <x v="4"/>
    <s v="09/08/2022"/>
    <x v="6"/>
    <s v="09/08/2022"/>
    <n v="9101"/>
    <s v="FC#6426 ATENCION VUELO 03/08/2022 - 09/08/2022 N24"/>
    <n v="0"/>
    <n v="0"/>
    <n v="0"/>
  </r>
  <r>
    <x v="4"/>
    <x v="4"/>
    <s v="10/08/2022"/>
    <x v="6"/>
    <s v="10/08/2022"/>
    <n v="9121"/>
    <s v="FC#29983 REEMBOLSO 622 GALONES JET A-1 AERONAVE N2"/>
    <n v="0"/>
    <n v="0"/>
    <n v="0"/>
  </r>
  <r>
    <x v="4"/>
    <x v="4"/>
    <s v="10/08/2022"/>
    <x v="6"/>
    <s v="10/08/2022"/>
    <n v="9123"/>
    <s v="FC#29982 REEMBOLSO 583 GALONES JET A-1 AERONAVE N2"/>
    <n v="0"/>
    <n v="0"/>
    <n v="0"/>
  </r>
  <r>
    <x v="4"/>
    <x v="4"/>
    <s v="16/08/2022"/>
    <x v="6"/>
    <s v="16/08/2022"/>
    <n v="9039"/>
    <s v="FC#173278 FEE TKTS BOLETOS AEREOS QUISHPE JAVIER"/>
    <n v="0"/>
    <n v="0"/>
    <n v="0"/>
  </r>
  <r>
    <x v="4"/>
    <x v="4"/>
    <s v="17/08/2022"/>
    <x v="6"/>
    <s v="17/08/2022"/>
    <n v="9118"/>
    <s v="FC#29979 REEMB USO INSTALACIONE COMBUSTIBLE N254GH"/>
    <n v="0"/>
    <n v="0"/>
    <n v="0"/>
  </r>
  <r>
    <x v="4"/>
    <x v="4"/>
    <s v="18/08/2022"/>
    <x v="6"/>
    <s v="18/08/2022"/>
    <n v="9028"/>
    <s v="FC#22413 HOSPEDAJE ORO VERDE 17/08/2022 CARVAJAL S"/>
    <n v="0"/>
    <n v="0"/>
    <n v="0"/>
  </r>
  <r>
    <x v="4"/>
    <x v="4"/>
    <s v="18/08/2022"/>
    <x v="6"/>
    <s v="18/08/2022"/>
    <n v="9035"/>
    <s v="FC#173406 REEM BOLETOS AEREOS SERRANO DIEGO"/>
    <n v="0"/>
    <n v="0"/>
    <n v="0"/>
  </r>
  <r>
    <x v="4"/>
    <x v="4"/>
    <s v="18/08/2022"/>
    <x v="6"/>
    <s v="18/08/2022"/>
    <n v="9036"/>
    <s v="FC#173409 FEE TKTS BOLETOS AEREOS SERRANO DIEGO"/>
    <n v="0"/>
    <n v="0"/>
    <n v="0"/>
  </r>
  <r>
    <x v="4"/>
    <x v="4"/>
    <s v="18/08/2022"/>
    <x v="6"/>
    <s v="18/08/2022"/>
    <n v="9037"/>
    <s v="FC#173410 REEM BOLETOS AEREOS BENAVIDES XIMENA"/>
    <n v="0"/>
    <n v="0"/>
    <n v="0"/>
  </r>
  <r>
    <x v="4"/>
    <x v="4"/>
    <s v="18/08/2022"/>
    <x v="6"/>
    <s v="18/08/2022"/>
    <n v="9038"/>
    <s v="FC#173411 FEE TKTS BOLETOS AEREOS BENAVIDES XIMENA"/>
    <n v="0"/>
    <n v="0"/>
    <n v="0"/>
  </r>
  <r>
    <x v="4"/>
    <x v="4"/>
    <s v="18/08/2022"/>
    <x v="6"/>
    <s v="18/08/2022"/>
    <n v="9119"/>
    <s v="FC#29980 REEMBOLSO CONSUMO ENERGIA ELECTRICA DEL 1"/>
    <n v="0"/>
    <n v="0"/>
    <n v="0"/>
  </r>
  <r>
    <x v="4"/>
    <x v="4"/>
    <s v="19/08/2022"/>
    <x v="6"/>
    <s v="19/08/2022"/>
    <n v="9102"/>
    <s v="FC#22451 HOSPEDAJE 18 AGO 2022 SERRANO DIEGO"/>
    <n v="0"/>
    <n v="0"/>
    <n v="0"/>
  </r>
  <r>
    <x v="4"/>
    <x v="4"/>
    <s v="19/08/2022"/>
    <x v="6"/>
    <s v="19/08/2022"/>
    <n v="9103"/>
    <s v="FC#22492 HOSPEDAJE 18 AGO 2022 BENAVIDES XIMENA"/>
    <n v="0"/>
    <n v="0"/>
    <n v="0"/>
  </r>
  <r>
    <x v="4"/>
    <x v="4"/>
    <s v="22/08/2022"/>
    <x v="6"/>
    <s v="20/08/2022"/>
    <n v="9067"/>
    <s v="REEMB GASTOS VIAJE CARVAJAL SANTIAGO"/>
    <n v="0"/>
    <n v="0"/>
    <n v="0"/>
  </r>
  <r>
    <x v="4"/>
    <x v="4"/>
    <s v="22/08/2022"/>
    <x v="6"/>
    <s v="22/08/2022"/>
    <n v="9058"/>
    <s v="REPOS GASTOS VIAJE BENAVIDES XIMENA 18-19/08/2022"/>
    <n v="0"/>
    <n v="0"/>
    <n v="0"/>
  </r>
  <r>
    <x v="4"/>
    <x v="4"/>
    <s v="22/09/2022"/>
    <x v="7"/>
    <s v="22/08/2022"/>
    <n v="9085"/>
    <s v="FC#550 MADIRT. REEMB SISTEMA DATA LIFE AGOSTO 2022"/>
    <n v="0"/>
    <n v="0"/>
    <n v="0"/>
  </r>
  <r>
    <x v="4"/>
    <x v="4"/>
    <s v="22/09/2022"/>
    <x v="7"/>
    <s v="22/08/2022"/>
    <n v="9086"/>
    <s v="FC#546 MADIRT REEMB ARRIENDO SISTEMA SAP SIGLO AGO"/>
    <n v="0"/>
    <n v="0"/>
    <n v="0"/>
  </r>
  <r>
    <x v="4"/>
    <x v="4"/>
    <s v="31/08/2022"/>
    <x v="6"/>
    <s v="31/08/2022"/>
    <n v="9153"/>
    <s v="FC#13015810 COMISIONES Y CARGOS BANCARIOS AGOSTO 2"/>
    <n v="0"/>
    <n v="0"/>
    <n v="0"/>
  </r>
  <r>
    <x v="4"/>
    <x v="4"/>
    <s v="05/09/2022"/>
    <x v="7"/>
    <s v="04/09/2022"/>
    <n v="9252"/>
    <s v="REEMB GASTOS REPOSICION CAJA CH N° 060 XB"/>
    <n v="0"/>
    <n v="0"/>
    <n v="0"/>
  </r>
  <r>
    <x v="4"/>
    <x v="4"/>
    <s v="05/09/2022"/>
    <x v="7"/>
    <s v="04/09/2022"/>
    <n v="9253"/>
    <s v="REEMB GASTOS REPOSICION CAJA CH N° 060 PV"/>
    <n v="0"/>
    <n v="0"/>
    <n v="0"/>
  </r>
  <r>
    <x v="4"/>
    <x v="4"/>
    <s v="05/09/2022"/>
    <x v="7"/>
    <s v="04/09/2022"/>
    <n v="9254"/>
    <s v="REEMB GASTOS REPOSICION CAJA CH N° 060 JQ"/>
    <n v="0"/>
    <n v="0"/>
    <n v="0"/>
  </r>
  <r>
    <x v="4"/>
    <x v="4"/>
    <s v="05/09/2022"/>
    <x v="7"/>
    <s v="05/09/2022"/>
    <n v="9176"/>
    <s v="FC#125589 PANAMERIC.LIFE SEG VIDA Y ASISTENCIA MED"/>
    <n v="0"/>
    <n v="0"/>
    <n v="0"/>
  </r>
  <r>
    <x v="4"/>
    <x v="4"/>
    <s v="05/09/2022"/>
    <x v="7"/>
    <s v="05/09/2022"/>
    <n v="9177"/>
    <s v="FC#125590 PANAMERIC.LIFE SEG VIDA Y ASISTENCIA MED"/>
    <n v="0"/>
    <n v="0"/>
    <n v="0"/>
  </r>
  <r>
    <x v="4"/>
    <x v="4"/>
    <s v="06/09/2022"/>
    <x v="7"/>
    <s v="06/09/2022"/>
    <n v="9265"/>
    <s v="FC#6587 ATENCION VUELO 28/08/2022 - 06/09/2022 N24"/>
    <n v="0"/>
    <n v="0"/>
    <n v="0"/>
  </r>
  <r>
    <x v="4"/>
    <x v="4"/>
    <s v="07/09/2022"/>
    <x v="7"/>
    <s v="07/09/2022"/>
    <n v="9179"/>
    <s v="FC#23216 HOSPEDAJE 05-06 SEP 2022 BENAVIDES XIMENA"/>
    <n v="0"/>
    <n v="0"/>
    <n v="0"/>
  </r>
  <r>
    <x v="4"/>
    <x v="4"/>
    <s v="07/09/2022"/>
    <x v="7"/>
    <s v="07/09/2022"/>
    <n v="9310"/>
    <s v="FC#29985 REEMBOLSO 360 GALONES JET A-1 AERONAVE N2"/>
    <n v="0"/>
    <n v="0"/>
    <n v="0"/>
  </r>
  <r>
    <x v="4"/>
    <x v="4"/>
    <s v="08/09/2022"/>
    <x v="7"/>
    <s v="08/09/2022"/>
    <n v="9180"/>
    <s v="FC#23256 HOSPEDAJE 05-06-07 SEP 2022 SERRANO DIEGO"/>
    <n v="0"/>
    <n v="0"/>
    <n v="0"/>
  </r>
  <r>
    <x v="4"/>
    <x v="4"/>
    <s v="08/09/2022"/>
    <x v="7"/>
    <s v="08/09/2022"/>
    <n v="9181"/>
    <s v="FC#23260 HOSPEDAJE 06-07 SEP 2022 RODAS GUILLERMO"/>
    <n v="0"/>
    <n v="0"/>
    <n v="0"/>
  </r>
  <r>
    <x v="4"/>
    <x v="4"/>
    <s v="08/09/2022"/>
    <x v="7"/>
    <s v="08/09/2022"/>
    <n v="9182"/>
    <s v="FC#23270 HOSPEDAJE 06-07 SEP 2022 DEL CASTILLO PAU"/>
    <n v="0"/>
    <n v="0"/>
    <n v="0"/>
  </r>
  <r>
    <x v="4"/>
    <x v="4"/>
    <s v="08/09/2022"/>
    <x v="7"/>
    <s v="08/09/2022"/>
    <n v="9244"/>
    <s v="REPOSICION GASTOS AL 16/08/2022 QUISHPE JAVIER"/>
    <n v="0"/>
    <n v="0"/>
    <n v="0"/>
  </r>
  <r>
    <x v="4"/>
    <x v="4"/>
    <s v="08/09/2022"/>
    <x v="7"/>
    <s v="08/09/2022"/>
    <n v="9246"/>
    <s v="Factura de proveedores - Cancelación - PN171149825"/>
    <n v="0"/>
    <n v="0"/>
    <n v="0"/>
  </r>
  <r>
    <x v="4"/>
    <x v="4"/>
    <s v="08/09/2022"/>
    <x v="7"/>
    <s v="08/09/2022"/>
    <n v="9247"/>
    <s v="REPOSICION GASTOS AL 16/08/2022 QUISHPE JAVIER"/>
    <n v="0"/>
    <n v="0"/>
    <n v="0"/>
  </r>
  <r>
    <x v="4"/>
    <x v="4"/>
    <s v="08/09/2022"/>
    <x v="7"/>
    <s v="08/09/2022"/>
    <n v="9322"/>
    <s v="FC#111256 PETROECUADOR ADQUISICION 58 GALONES JET"/>
    <n v="0"/>
    <n v="0"/>
    <n v="0"/>
  </r>
  <r>
    <x v="4"/>
    <x v="4"/>
    <s v="12/10/2022"/>
    <x v="8"/>
    <s v="12/09/2022"/>
    <n v="9178"/>
    <s v="FC#3763 REEM CONSUMO CELULAR AGOSTO 2022"/>
    <n v="0"/>
    <n v="0"/>
    <n v="0"/>
  </r>
  <r>
    <x v="4"/>
    <x v="4"/>
    <s v="12/09/2022"/>
    <x v="7"/>
    <s v="12/09/2022"/>
    <n v="9248"/>
    <s v="REPOS GASTOS VIAJE BENAVIDES XIMENA 05-06-07/09/20"/>
    <n v="0"/>
    <n v="0"/>
    <n v="0"/>
  </r>
  <r>
    <x v="4"/>
    <x v="4"/>
    <s v="13/09/2022"/>
    <x v="7"/>
    <s v="13/09/2022"/>
    <n v="9188"/>
    <s v="FC#174426 REEM BOLETOS AEREOS BENAVIDES XIMENA-SER"/>
    <n v="0"/>
    <n v="0"/>
    <n v="0"/>
  </r>
  <r>
    <x v="4"/>
    <x v="4"/>
    <s v="13/09/2022"/>
    <x v="7"/>
    <s v="13/09/2022"/>
    <n v="9189"/>
    <s v="FC#174427 FEE TKTS BOLETOS AEREOS BENAVIDES XIMENA"/>
    <n v="0"/>
    <n v="0"/>
    <n v="0"/>
  </r>
  <r>
    <x v="4"/>
    <x v="4"/>
    <s v="15/09/2022"/>
    <x v="7"/>
    <s v="15/09/2022"/>
    <n v="9242"/>
    <s v="FC#174554 REEM BOLETOS AEREOS SERRANO DIEGO"/>
    <n v="0"/>
    <n v="0"/>
    <n v="0"/>
  </r>
  <r>
    <x v="4"/>
    <x v="4"/>
    <s v="15/09/2022"/>
    <x v="7"/>
    <s v="15/09/2022"/>
    <n v="9243"/>
    <s v="FC#174556 FEE TKTS BOLETOS AEREOS SERRANO DIEGO"/>
    <n v="0"/>
    <n v="0"/>
    <n v="0"/>
  </r>
  <r>
    <x v="4"/>
    <x v="4"/>
    <s v="16/09/2022"/>
    <x v="7"/>
    <s v="16/09/2022"/>
    <n v="9239"/>
    <s v="FC#174598 REEM BOLETOS AEREOS QUISHPE JAVIER"/>
    <n v="0"/>
    <n v="0"/>
    <n v="0"/>
  </r>
  <r>
    <x v="4"/>
    <x v="4"/>
    <s v="16/09/2022"/>
    <x v="7"/>
    <s v="16/09/2022"/>
    <n v="9240"/>
    <s v="FC#174599 REEM BOLETOS AEREOS QUISHPE JAVIER"/>
    <n v="0"/>
    <n v="0"/>
    <n v="0"/>
  </r>
  <r>
    <x v="4"/>
    <x v="4"/>
    <s v="16/09/2022"/>
    <x v="7"/>
    <s v="16/09/2022"/>
    <n v="9241"/>
    <s v="FC#174601 FEE TKTS BOLETOS AEREOS QUISHPE JAVIER"/>
    <n v="0"/>
    <n v="0"/>
    <n v="0"/>
  </r>
  <r>
    <x v="4"/>
    <x v="4"/>
    <s v="19/09/2022"/>
    <x v="7"/>
    <s v="17/09/2022"/>
    <n v="9323"/>
    <s v="FC#111895 PETROECUADOR ADQUISICION 72 GALONES JET"/>
    <n v="0"/>
    <n v="0"/>
    <n v="0"/>
  </r>
  <r>
    <x v="4"/>
    <x v="4"/>
    <s v="20/10/2022"/>
    <x v="8"/>
    <s v="20/09/2022"/>
    <n v="9263"/>
    <s v="FC#74606 TAGSA USO INSTALACIONES COMBUSTIBLE HC CV"/>
    <n v="0"/>
    <n v="0"/>
    <n v="0"/>
  </r>
  <r>
    <x v="4"/>
    <x v="4"/>
    <s v="20/09/2022"/>
    <x v="7"/>
    <s v="20/09/2022"/>
    <n v="9309"/>
    <s v="FC#29987 REEMBOLSO CONSUMO ENERGIA ELECTRICA DEL 1"/>
    <n v="0"/>
    <n v="0"/>
    <n v="0"/>
  </r>
  <r>
    <x v="4"/>
    <x v="4"/>
    <s v="22/09/2022"/>
    <x v="7"/>
    <s v="22/09/2022"/>
    <n v="9264"/>
    <s v="FC#704 ATENCION VUELO 08/09/2022 - 22/09/2022 N245"/>
    <n v="0"/>
    <n v="0"/>
    <n v="0"/>
  </r>
  <r>
    <x v="4"/>
    <x v="4"/>
    <s v="22/09/2022"/>
    <x v="7"/>
    <s v="22/09/2022"/>
    <n v="9312"/>
    <s v="FC#29984 REEMBOLSO 127 GALONES JET A-1 AERONAVE N2"/>
    <n v="0"/>
    <n v="0"/>
    <n v="0"/>
  </r>
  <r>
    <x v="4"/>
    <x v="4"/>
    <s v="23/09/2022"/>
    <x v="7"/>
    <s v="23/09/2022"/>
    <n v="9311"/>
    <s v="FC#29986 REEMBOLSO 200 GALONES JET A-1 AERONAVE N2"/>
    <n v="0"/>
    <n v="0"/>
    <n v="0"/>
  </r>
  <r>
    <x v="4"/>
    <x v="4"/>
    <s v="30/09/2022"/>
    <x v="7"/>
    <s v="30/09/2022"/>
    <n v="9308"/>
    <s v="FC#13210636 COMISIONES Y CARGOS BANCARIOS SEPTIEMB"/>
    <n v="0"/>
    <n v="0"/>
    <n v="0"/>
  </r>
  <r>
    <x v="4"/>
    <x v="4"/>
    <s v="03/10/2022"/>
    <x v="8"/>
    <s v="01/10/2022"/>
    <n v="9359"/>
    <s v="FC#85370 PETROECUADOR ADQUISICION 59 GALONES JET A"/>
    <n v="0"/>
    <n v="0"/>
    <n v="0"/>
  </r>
  <r>
    <x v="4"/>
    <x v="4"/>
    <s v="03/10/2022"/>
    <x v="8"/>
    <s v="03/10/2022"/>
    <n v="9352"/>
    <s v="FC 152 LIBERACION AERONAVE Y PREVUELO BELL 505"/>
    <n v="0"/>
    <n v="0"/>
    <n v="0"/>
  </r>
  <r>
    <x v="4"/>
    <x v="4"/>
    <s v="03/10/2022"/>
    <x v="8"/>
    <s v="03/10/2022"/>
    <n v="9385"/>
    <s v="FC#127220 PANAMERIC.LIFE SEG VIDA Y ASISTENCIA MED"/>
    <n v="0"/>
    <n v="0"/>
    <n v="0"/>
  </r>
  <r>
    <x v="4"/>
    <x v="4"/>
    <s v="03/10/2022"/>
    <x v="8"/>
    <s v="03/10/2022"/>
    <n v="9386"/>
    <s v="FC#127223 PANAMERIC.LIFE SEG VIDA Y ASISTENCIA MED"/>
    <n v="0"/>
    <n v="0"/>
    <n v="0"/>
  </r>
  <r>
    <x v="4"/>
    <x v="4"/>
    <s v="03/10/2022"/>
    <x v="8"/>
    <s v="03/10/2022"/>
    <n v="9443"/>
    <s v="Factura de proveedores - Cancelación - PN179260268"/>
    <n v="0"/>
    <n v="0"/>
    <n v="0"/>
  </r>
  <r>
    <x v="4"/>
    <x v="4"/>
    <s v="03/10/2022"/>
    <x v="8"/>
    <s v="03/10/2022"/>
    <n v="9444"/>
    <s v="FC#127223 PANAMERIC.LIFE SEG VIDA Y ASISTENCIA MED"/>
    <n v="0"/>
    <n v="0"/>
    <n v="0"/>
  </r>
  <r>
    <x v="4"/>
    <x v="4"/>
    <s v="04/11/2022"/>
    <x v="0"/>
    <s v="04/10/2022"/>
    <n v="9360"/>
    <s v="REPOS GASTOS ATENCION BELL TEXTRON Y CLIENTES VARI"/>
    <n v="0"/>
    <n v="0"/>
    <n v="0"/>
  </r>
  <r>
    <x v="4"/>
    <x v="4"/>
    <s v="05/10/2022"/>
    <x v="8"/>
    <s v="05/10/2022"/>
    <n v="9356"/>
    <s v="FC#175410 FEE BOLETOS AEREOS GUILLERMO RODAS"/>
    <n v="0"/>
    <n v="0"/>
    <n v="0"/>
  </r>
  <r>
    <x v="4"/>
    <x v="4"/>
    <s v="05/10/2022"/>
    <x v="8"/>
    <s v="05/10/2022"/>
    <n v="9357"/>
    <s v="FC#175409 REEM BOLETOS AEREOS GUILLERMO RODAS"/>
    <n v="0"/>
    <n v="0"/>
    <n v="0"/>
  </r>
  <r>
    <x v="4"/>
    <x v="4"/>
    <s v="05/10/2022"/>
    <x v="8"/>
    <s v="05/10/2022"/>
    <n v="9358"/>
    <s v="FC#175375 REEM BOLETOS AEREOS GUILLERMO RODAS"/>
    <n v="0"/>
    <n v="0"/>
    <n v="0"/>
  </r>
  <r>
    <x v="4"/>
    <x v="4"/>
    <s v="06/10/2022"/>
    <x v="8"/>
    <s v="06/10/2022"/>
    <n v="9354"/>
    <s v="FC#175457 REEM BOLETOS AEREOS QUISHPE JAVIER"/>
    <n v="0"/>
    <n v="0"/>
    <n v="0"/>
  </r>
  <r>
    <x v="4"/>
    <x v="4"/>
    <s v="06/10/2022"/>
    <x v="8"/>
    <s v="06/10/2022"/>
    <n v="9355"/>
    <s v="FC#175462 FEE BOLETOS AEREOS QUISHPE JAVIER"/>
    <n v="0"/>
    <n v="0"/>
    <n v="0"/>
  </r>
  <r>
    <x v="4"/>
    <x v="4"/>
    <s v="06/10/2022"/>
    <x v="8"/>
    <s v="06/10/2022"/>
    <n v="9369"/>
    <s v="FC#172307 DECLARACION JURAMENTADA"/>
    <n v="0"/>
    <n v="0"/>
    <n v="0"/>
  </r>
  <r>
    <x v="4"/>
    <x v="4"/>
    <s v="07/10/2022"/>
    <x v="8"/>
    <s v="07/10/2022"/>
    <n v="9368"/>
    <s v="FC#172863 DECLARACION JURAMENTADA"/>
    <n v="0"/>
    <n v="0"/>
    <n v="0"/>
  </r>
  <r>
    <x v="4"/>
    <x v="4"/>
    <s v="07/10/2022"/>
    <x v="8"/>
    <s v="07/10/2022"/>
    <n v="9391"/>
    <s v="FC#555 REEM MOVILIZACION DEL 07 AL 08 MARZO/2022"/>
    <n v="0"/>
    <n v="0"/>
    <n v="0"/>
  </r>
  <r>
    <x v="4"/>
    <x v="4"/>
    <s v="13/10/2022"/>
    <x v="8"/>
    <s v="13/10/2022"/>
    <n v="9351"/>
    <s v="FC#175669 REEM BOLETOS AEREOS RODAS GUILLERMO"/>
    <n v="0"/>
    <n v="0"/>
    <n v="0"/>
  </r>
  <r>
    <x v="4"/>
    <x v="4"/>
    <s v="13/10/2022"/>
    <x v="8"/>
    <s v="13/10/2022"/>
    <n v="9387"/>
    <s v="FC#19 GASERV REEMB SISTEMA DATA LIFE SPETIEMBRE 20"/>
    <n v="0"/>
    <n v="0"/>
    <n v="0"/>
  </r>
  <r>
    <x v="4"/>
    <x v="4"/>
    <s v="13/10/2022"/>
    <x v="8"/>
    <s v="13/10/2022"/>
    <n v="9388"/>
    <s v="FC#15 GASERV REEMB SISTEMA DATA LIFE OCTUBRE 2022"/>
    <n v="0"/>
    <n v="0"/>
    <n v="0"/>
  </r>
  <r>
    <x v="4"/>
    <x v="4"/>
    <s v="13/10/2022"/>
    <x v="8"/>
    <s v="13/10/2022"/>
    <n v="9389"/>
    <s v="FC#8 GASERV REEMB ARRIENDO SISTEMA SAP SIGLO SEPTI"/>
    <n v="0"/>
    <n v="0"/>
    <n v="0"/>
  </r>
  <r>
    <x v="4"/>
    <x v="4"/>
    <s v="13/10/2022"/>
    <x v="8"/>
    <s v="13/10/2022"/>
    <n v="9390"/>
    <s v="FC#11 GASERV REEMB ARRIENDO SISTEMA SAP SIGLO OCTU"/>
    <n v="0"/>
    <n v="0"/>
    <n v="0"/>
  </r>
  <r>
    <x v="4"/>
    <x v="4"/>
    <s v="14/10/2022"/>
    <x v="8"/>
    <s v="14/10/2022"/>
    <n v="9350"/>
    <s v="FC#175757 REEM BOLETOS AEREOS QUISHPE JAVIER"/>
    <n v="0"/>
    <n v="0"/>
    <n v="0"/>
  </r>
  <r>
    <x v="4"/>
    <x v="4"/>
    <s v="17/11/2022"/>
    <x v="0"/>
    <s v="17/10/2022"/>
    <n v="9349"/>
    <s v="FC#3829 REEM CONSUMO CELULAR SEPTIEMBRE 2022"/>
    <n v="0"/>
    <n v="0"/>
    <n v="0"/>
  </r>
  <r>
    <x v="4"/>
    <x v="4"/>
    <s v="24/10/2022"/>
    <x v="8"/>
    <s v="24/10/2022"/>
    <n v="9392"/>
    <s v="REPOSICION GASTOS DEL 29/SEP AL 05/OCT QUISHPE JAV"/>
    <n v="0"/>
    <n v="0"/>
    <n v="0"/>
  </r>
  <r>
    <x v="4"/>
    <x v="4"/>
    <s v="26/10/2022"/>
    <x v="8"/>
    <s v="26/10/2022"/>
    <n v="9399"/>
    <s v="REEMB GASTOS REPOSICION CAJA CH N° 062 XB"/>
    <n v="0"/>
    <n v="0"/>
    <n v="0"/>
  </r>
  <r>
    <x v="4"/>
    <x v="4"/>
    <s v="26/10/2022"/>
    <x v="8"/>
    <s v="26/10/2022"/>
    <n v="9400"/>
    <s v="REEMB GASTOS REPOSICION CAJA CH N° 062 JQ"/>
    <n v="0"/>
    <n v="0"/>
    <n v="0"/>
  </r>
  <r>
    <x v="4"/>
    <x v="4"/>
    <s v="26/10/2022"/>
    <x v="8"/>
    <s v="26/10/2022"/>
    <n v="9412"/>
    <s v="FC#68035 DGAC RENOVACION CERTIFICADO AERONAVEGABIL"/>
    <n v="0"/>
    <n v="0"/>
    <n v="0"/>
  </r>
  <r>
    <x v="4"/>
    <x v="4"/>
    <s v="28/11/2022"/>
    <x v="0"/>
    <s v="28/10/2022"/>
    <n v="9403"/>
    <s v="FC#623492 SEGURO POLIZA CASCO-PERD LICENCIAS CA-51"/>
    <n v="0"/>
    <n v="0"/>
    <n v="0"/>
  </r>
  <r>
    <x v="4"/>
    <x v="4"/>
    <s v="28/11/2022"/>
    <x v="0"/>
    <s v="28/10/2022"/>
    <n v="9404"/>
    <s v="FC#623493 SEGURO POLIZA CASCO-PERD LICENCIAS CA-51"/>
    <n v="0"/>
    <n v="0"/>
    <n v="0"/>
  </r>
  <r>
    <x v="4"/>
    <x v="4"/>
    <s v="31/10/2022"/>
    <x v="8"/>
    <s v="31/10/2022"/>
    <n v="9413"/>
    <s v="FC#176470 REEMB BOLETOS 94386-1 SERRANO DIEGO"/>
    <n v="0"/>
    <n v="0"/>
    <n v="0"/>
  </r>
  <r>
    <x v="4"/>
    <x v="4"/>
    <s v="31/10/2022"/>
    <x v="8"/>
    <s v="31/10/2022"/>
    <n v="9414"/>
    <s v="FC#176471 FEE TKTS BOLETOS 94386-2 SERRANO DIEGO"/>
    <n v="0"/>
    <n v="0"/>
    <n v="0"/>
  </r>
  <r>
    <x v="4"/>
    <x v="4"/>
    <s v="31/10/2022"/>
    <x v="8"/>
    <s v="31/10/2022"/>
    <n v="9415"/>
    <s v="FC#176472 REEMB BOLETOS 94419-1 QUISHPE JAVIER"/>
    <n v="0"/>
    <n v="0"/>
    <n v="0"/>
  </r>
  <r>
    <x v="4"/>
    <x v="4"/>
    <s v="31/10/2022"/>
    <x v="8"/>
    <s v="31/10/2022"/>
    <n v="9416"/>
    <s v="FC#176473 FEE TKTS BOLETOS 94419-2 QUISHPE JAVIER"/>
    <n v="0"/>
    <n v="0"/>
    <n v="0"/>
  </r>
  <r>
    <x v="5"/>
    <x v="5"/>
    <n v="2021"/>
    <x v="0"/>
    <s v="Pasivos"/>
    <m/>
    <s v="Retención en la fuente bajo relación de dependencia"/>
    <m/>
    <m/>
    <n v="-554"/>
  </r>
  <r>
    <x v="5"/>
    <x v="5"/>
    <s v="19/01/2022"/>
    <x v="0"/>
    <s v="19/01/2022"/>
    <n v="8072"/>
    <s v="ND PAGO RETENCIONES FUENTE DIC 2021 FORM 103 SRI"/>
    <n v="554"/>
    <m/>
    <n v="554"/>
  </r>
  <r>
    <x v="5"/>
    <x v="5"/>
    <s v="31/01/2022"/>
    <x v="0"/>
    <s v="31/01/2022"/>
    <n v="8560"/>
    <s v="Reg. Rol Pagos Enero 2022"/>
    <m/>
    <n v="1214.93"/>
    <n v="-1214.93"/>
  </r>
  <r>
    <x v="5"/>
    <x v="5"/>
    <s v="21/02/2022"/>
    <x v="1"/>
    <s v="21/02/2022"/>
    <n v="8312"/>
    <s v="ND PAGO RETEN FTE ENERO 2022 SRI FORMULARIO 103"/>
    <n v="1214.93"/>
    <m/>
    <n v="1214.93"/>
  </r>
  <r>
    <x v="5"/>
    <x v="5"/>
    <s v="28/02/2022"/>
    <x v="1"/>
    <s v="28/02/2022"/>
    <n v="8555"/>
    <s v="Reg. Rol Pagos Febrero 2022"/>
    <m/>
    <n v="1214.93"/>
    <n v="-1214.93"/>
  </r>
  <r>
    <x v="5"/>
    <x v="5"/>
    <s v="21/03/2022"/>
    <x v="2"/>
    <s v="21/03/2022"/>
    <n v="8369"/>
    <s v="ND PAGO RETENCION FUENTE FEBRERO 2022 SRI FORM 103"/>
    <n v="1214.93"/>
    <m/>
    <n v="1214.93"/>
  </r>
  <r>
    <x v="5"/>
    <x v="5"/>
    <s v="31/03/2022"/>
    <x v="2"/>
    <s v="31/03/2022"/>
    <n v="8557"/>
    <s v="Reg. Rol Pagos Marzo 2022"/>
    <m/>
    <n v="1214.93"/>
    <n v="-1214.93"/>
  </r>
  <r>
    <x v="5"/>
    <x v="5"/>
    <s v="19/04/2022"/>
    <x v="3"/>
    <s v="19/04/2022"/>
    <n v="8572"/>
    <s v="ND 26570501 PAGO RETENCIONES FUENTE MARZO 2022 SRI"/>
    <n v="1214.93"/>
    <m/>
    <n v="1214.93"/>
  </r>
  <r>
    <x v="5"/>
    <x v="5"/>
    <s v="30/04/2022"/>
    <x v="3"/>
    <s v="30/04/2022"/>
    <n v="8562"/>
    <s v="Reg. Rol Pagos Abril 2022"/>
    <m/>
    <n v="2040.01"/>
    <n v="-2040.01"/>
  </r>
  <r>
    <x v="5"/>
    <x v="5"/>
    <s v="19/05/2022"/>
    <x v="4"/>
    <s v="19/05/2022"/>
    <n v="8661"/>
    <s v="ND 25372192 PAGO RETENCIONES FUENTE ABRIL 2022 FOR"/>
    <n v="2040.01"/>
    <m/>
    <n v="2040.01"/>
  </r>
  <r>
    <x v="5"/>
    <x v="5"/>
    <s v="31/05/2022"/>
    <x v="4"/>
    <s v="31/05/2022"/>
    <n v="8714"/>
    <s v="Reg. Rol Pagos Mayo 2022"/>
    <m/>
    <n v="2040.01"/>
    <n v="-2040.01"/>
  </r>
  <r>
    <x v="5"/>
    <x v="5"/>
    <s v="21/06/2022"/>
    <x v="9"/>
    <s v="21/06/2022"/>
    <n v="8886"/>
    <s v="ND PAGO RETENCIONES FUENTE MAYO SRI FORM 103"/>
    <n v="2040.01"/>
    <m/>
    <n v="2040.01"/>
  </r>
  <r>
    <x v="5"/>
    <x v="5"/>
    <s v="30/06/2022"/>
    <x v="9"/>
    <s v="30/06/2022"/>
    <n v="8984"/>
    <s v="Reg. Rol Pagos Junio 2022"/>
    <m/>
    <n v="2040"/>
    <n v="-2040"/>
  </r>
  <r>
    <x v="5"/>
    <x v="5"/>
    <s v="19/07/2022"/>
    <x v="5"/>
    <s v="19/07/2022"/>
    <n v="8987"/>
    <s v="ND PAGO RETEN FTE JUNIO 2022 FORM 103 SRI"/>
    <n v="2040"/>
    <m/>
    <n v="2040"/>
  </r>
  <r>
    <x v="5"/>
    <x v="5"/>
    <s v="31/07/2022"/>
    <x v="5"/>
    <s v="31/07/2022"/>
    <n v="8985"/>
    <s v="Reg. Rol Pagos Julio 2022"/>
    <m/>
    <n v="2040.01"/>
    <n v="-2040.01"/>
  </r>
  <r>
    <x v="5"/>
    <x v="5"/>
    <s v="19/08/2022"/>
    <x v="6"/>
    <s v="19/08/2022"/>
    <n v="9152"/>
    <s v="ND PAGO RETENCIONES FUENTE JULIO 2022 SRI FORM 103"/>
    <n v="2040.01"/>
    <m/>
    <n v="2040.01"/>
  </r>
  <r>
    <x v="5"/>
    <x v="5"/>
    <s v="31/08/2022"/>
    <x v="6"/>
    <s v="31/08/2022"/>
    <n v="9193"/>
    <s v="Reg. Rol Pagos Agosto 2022"/>
    <m/>
    <n v="2065.98"/>
    <n v="-2065.98"/>
  </r>
  <r>
    <x v="5"/>
    <x v="5"/>
    <s v="20/09/2022"/>
    <x v="7"/>
    <s v="20/09/2022"/>
    <n v="9284"/>
    <s v="ND 29962985 PAGO RETEN FTE AGOSTO 2022 SRI FORM 10"/>
    <n v="2065.98"/>
    <m/>
    <n v="2065.98"/>
  </r>
  <r>
    <x v="5"/>
    <x v="5"/>
    <s v="30/09/2022"/>
    <x v="7"/>
    <s v="30/09/2022"/>
    <n v="9325"/>
    <s v="Reg. Rol Pagos Septiembre 2022"/>
    <m/>
    <n v="2040.01"/>
    <n v="-2040.01"/>
  </r>
  <r>
    <x v="5"/>
    <x v="5"/>
    <s v="19/10/2022"/>
    <x v="8"/>
    <s v="19/10/2022"/>
    <n v="9424"/>
    <s v="ND 30480126 PAGO RETEN FUENTE SEP 2022 SRI FORM 10"/>
    <n v="2040.01"/>
    <m/>
    <n v="2040.01"/>
  </r>
  <r>
    <x v="5"/>
    <x v="5"/>
    <s v="31/10/2022"/>
    <x v="8"/>
    <s v="31/10/2022"/>
    <n v="9475"/>
    <s v="Reg. Rol Pagos Octubre 2022"/>
    <m/>
    <n v="2106.7600000000002"/>
    <n v="-2106.7600000000002"/>
  </r>
  <r>
    <x v="4"/>
    <x v="4"/>
    <s v="31/10/2022"/>
    <x v="8"/>
    <s v="31/10/2022"/>
    <n v="9470"/>
    <s v="FC#13400457 COMISIONES Y CARGOS BANCARIOS OCTUBRE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x v="0"/>
    <n v="2021"/>
    <s v="Pasivos"/>
    <x v="0"/>
    <m/>
    <s v="Retención Fuente 1.75%"/>
    <m/>
    <m/>
    <n v="-16.46"/>
    <n v="-16.46"/>
    <x v="0"/>
  </r>
  <r>
    <x v="0"/>
    <x v="0"/>
    <s v="03/01/2022"/>
    <s v="02/01/2022"/>
    <x v="1"/>
    <n v="8111"/>
    <s v="FC.111984 PANAMERIC.LIFE SEG VIDA Y ASISTENCIA MED"/>
    <m/>
    <n v="0.5"/>
    <n v="-0.5"/>
    <n v="-16.96"/>
    <x v="1"/>
  </r>
  <r>
    <x v="0"/>
    <x v="0"/>
    <s v="03/01/2022"/>
    <s v="02/01/2022"/>
    <x v="1"/>
    <n v="8116"/>
    <s v="Factura de proveedores - Cancelación - PN179260268"/>
    <m/>
    <n v="-0.5"/>
    <n v="0.5"/>
    <n v="-16.46"/>
    <x v="1"/>
  </r>
  <r>
    <x v="0"/>
    <x v="0"/>
    <s v="03/01/2022"/>
    <s v="03/01/2022"/>
    <x v="1"/>
    <n v="8001"/>
    <s v="FC.110749 PANAMERIC.LIFE SEG VIDA Y ASISTENCIA MED"/>
    <m/>
    <n v="1.04"/>
    <n v="-1.04"/>
    <n v="-17.5"/>
    <x v="1"/>
  </r>
  <r>
    <x v="0"/>
    <x v="0"/>
    <s v="03/01/2022"/>
    <s v="03/01/2022"/>
    <x v="1"/>
    <n v="8002"/>
    <s v="FC.110750 PANAMERIC.LIFE SEG VIDA Y ASISTENCIA MED"/>
    <m/>
    <n v="0.17"/>
    <n v="-0.17"/>
    <n v="-17.670000000000002"/>
    <x v="1"/>
  </r>
  <r>
    <x v="0"/>
    <x v="0"/>
    <s v="03/01/2022"/>
    <s v="03/01/2022"/>
    <x v="1"/>
    <n v="8003"/>
    <s v="FC.110751 PANAMERIC.LIFE SEG VIDA Y ASISTENCIA MED"/>
    <m/>
    <n v="0.44"/>
    <n v="-0.44"/>
    <n v="-18.11"/>
    <x v="1"/>
  </r>
  <r>
    <x v="0"/>
    <x v="0"/>
    <s v="03/01/2022"/>
    <s v="03/01/2022"/>
    <x v="1"/>
    <n v="8004"/>
    <s v="FC.110752 PANAMERIC.LIFE SEG VIDA Y ASISTENCIA MED"/>
    <m/>
    <n v="0.5"/>
    <n v="-0.5"/>
    <n v="-18.61"/>
    <x v="1"/>
  </r>
  <r>
    <x v="0"/>
    <x v="0"/>
    <s v="03/01/2022"/>
    <s v="03/01/2022"/>
    <x v="1"/>
    <n v="8005"/>
    <s v="FC.110753 PANAMERIC.LIFE SEG VIDA Y ASISTENCIA MED"/>
    <m/>
    <n v="0.22"/>
    <n v="-0.22"/>
    <n v="-18.829999999999998"/>
    <x v="1"/>
  </r>
  <r>
    <x v="0"/>
    <x v="0"/>
    <s v="03/01/2022"/>
    <s v="03/01/2022"/>
    <x v="1"/>
    <n v="8015"/>
    <s v="Factura de proveedores - Cancelación - PN179260268"/>
    <m/>
    <n v="-1.04"/>
    <n v="1.04"/>
    <n v="-17.79"/>
    <x v="1"/>
  </r>
  <r>
    <x v="0"/>
    <x v="0"/>
    <s v="03/01/2022"/>
    <s v="03/01/2022"/>
    <x v="1"/>
    <n v="8016"/>
    <s v="Factura de proveedores - Cancelación - PN179260268"/>
    <m/>
    <n v="-0.17"/>
    <n v="0.17"/>
    <n v="-17.62"/>
    <x v="1"/>
  </r>
  <r>
    <x v="0"/>
    <x v="0"/>
    <s v="03/01/2022"/>
    <s v="03/01/2022"/>
    <x v="1"/>
    <n v="8018"/>
    <s v="Factura de proveedores - Cancelación - PN179260268"/>
    <m/>
    <n v="-0.44"/>
    <n v="0.44"/>
    <n v="-17.18"/>
    <x v="1"/>
  </r>
  <r>
    <x v="0"/>
    <x v="0"/>
    <s v="06/01/2022"/>
    <s v="06/01/2022"/>
    <x v="1"/>
    <n v="8006"/>
    <s v="FC.110754 PANAMERIC.LIFE SEG VIDA Y ASISTENCIA MED"/>
    <m/>
    <n v="0.67"/>
    <n v="-0.67"/>
    <n v="-17.850000000000001"/>
    <x v="1"/>
  </r>
  <r>
    <x v="0"/>
    <x v="0"/>
    <s v="06/01/2022"/>
    <s v="06/01/2022"/>
    <x v="1"/>
    <n v="8017"/>
    <s v="Factura de proveedores - Cancelación - PN179260268"/>
    <m/>
    <n v="-0.67"/>
    <n v="0.67"/>
    <n v="-17.18"/>
    <x v="1"/>
  </r>
  <r>
    <x v="0"/>
    <x v="0"/>
    <s v="11/01/2022"/>
    <s v="11/01/2022"/>
    <x v="1"/>
    <n v="7973"/>
    <s v="FAC. 5386 PRUEBAS SARS-PCR PAUL DEL CASTLLO DIEGO"/>
    <m/>
    <n v="1.66"/>
    <n v="-1.66"/>
    <n v="-18.84"/>
    <x v="1"/>
  </r>
  <r>
    <x v="0"/>
    <x v="0"/>
    <s v="19/01/2022"/>
    <s v="19/01/2022"/>
    <x v="1"/>
    <n v="8072"/>
    <s v="ND PAGO RETENCIONES FUENTE DIC 2021 FORM 103 SRI"/>
    <n v="16.46"/>
    <m/>
    <n v="16.46"/>
    <n v="-2.38"/>
    <x v="2"/>
  </r>
  <r>
    <x v="0"/>
    <x v="0"/>
    <s v="25/01/2022"/>
    <s v="25/01/2022"/>
    <x v="1"/>
    <n v="8021"/>
    <s v="FAC. 551 MANT. Y DESP. HELICOPTERO DEL 25 AL 28 DE"/>
    <m/>
    <n v="10.5"/>
    <n v="-10.5"/>
    <n v="-12.88"/>
    <x v="1"/>
  </r>
  <r>
    <x v="0"/>
    <x v="0"/>
    <s v="27/01/2022"/>
    <s v="27/01/2022"/>
    <x v="1"/>
    <n v="8057"/>
    <s v="FAC.000000113 SERVICIOS REEMPLAZO PATRICIO VILLACR"/>
    <m/>
    <n v="3.5"/>
    <n v="-3.5"/>
    <n v="-16.38"/>
    <x v="1"/>
  </r>
  <r>
    <x v="0"/>
    <x v="0"/>
    <s v="02/02/2022"/>
    <s v="02/02/2022"/>
    <x v="2"/>
    <n v="8110"/>
    <s v="FC.111987 PANAMERIC.LIFE SEG VIDA Y ASISTENCIA MED"/>
    <m/>
    <n v="0.22"/>
    <n v="-0.22"/>
    <n v="-16.600000000000001"/>
    <x v="1"/>
  </r>
  <r>
    <x v="0"/>
    <x v="0"/>
    <s v="02/02/2022"/>
    <s v="02/02/2022"/>
    <x v="2"/>
    <n v="8117"/>
    <s v="FC.111984 PANAMERIC.LIFE SEG VIDA Y ASISTENCIA MED"/>
    <m/>
    <n v="0.5"/>
    <n v="-0.5"/>
    <n v="-17.100000000000001"/>
    <x v="1"/>
  </r>
  <r>
    <x v="0"/>
    <x v="0"/>
    <s v="07/02/2022"/>
    <s v="07/02/2022"/>
    <x v="2"/>
    <n v="8062"/>
    <s v="FAC.8945 COMPRA LAPTO GATEWAY GWTN156 R5 S.1GWTN15"/>
    <m/>
    <n v="11.72"/>
    <n v="-11.72"/>
    <n v="-28.82"/>
    <x v="1"/>
  </r>
  <r>
    <x v="0"/>
    <x v="0"/>
    <s v="09/02/2022"/>
    <s v="09/02/2022"/>
    <x v="2"/>
    <n v="8082"/>
    <s v="FAC.121877 SEGURO PARA HELICOPTERO-CONTENEDOR-Y TO"/>
    <m/>
    <n v="10.09"/>
    <n v="-10.09"/>
    <n v="-38.909999999999997"/>
    <x v="1"/>
  </r>
  <r>
    <x v="0"/>
    <x v="0"/>
    <s v="21/02/2022"/>
    <s v="21/02/2022"/>
    <x v="2"/>
    <n v="8312"/>
    <s v="ND PAGO RETEN FTE ENERO 2022 SRI FORMULARIO 103"/>
    <n v="16.38"/>
    <m/>
    <n v="16.38"/>
    <n v="-22.53"/>
    <x v="2"/>
  </r>
  <r>
    <x v="0"/>
    <x v="0"/>
    <s v="21/03/2022"/>
    <s v="21/03/2022"/>
    <x v="3"/>
    <n v="8369"/>
    <s v="ND PAGO RETENCION FUENTE FEBRERO 2022 SRI FORM 103"/>
    <n v="22.53"/>
    <m/>
    <n v="22.53"/>
    <n v="0"/>
    <x v="2"/>
  </r>
  <r>
    <x v="0"/>
    <x v="0"/>
    <s v="24/03/2022"/>
    <s v="24/03/2022"/>
    <x v="3"/>
    <n v="8325"/>
    <s v="FC#115504 PANAMERIC.LIFE SEG VIDA Y ASISTENCIA MED"/>
    <m/>
    <n v="0.5"/>
    <n v="-0.5"/>
    <n v="-0.5"/>
    <x v="1"/>
  </r>
  <r>
    <x v="0"/>
    <x v="0"/>
    <s v="24/03/2022"/>
    <s v="24/03/2022"/>
    <x v="3"/>
    <n v="8326"/>
    <s v="FC#115507 PANAMERIC.LIFE SEG VIDA Y ASISTENCIA MED"/>
    <m/>
    <n v="0.22"/>
    <n v="-0.22"/>
    <n v="-0.72"/>
    <x v="1"/>
  </r>
  <r>
    <x v="0"/>
    <x v="0"/>
    <s v="02/05/2022"/>
    <s v="01/04/2022"/>
    <x v="4"/>
    <n v="8412"/>
    <s v="FC#23831 SEGURO VH-512821-END-1"/>
    <m/>
    <n v="1.1000000000000001"/>
    <n v="-1.1000000000000001"/>
    <n v="-1.82"/>
    <x v="1"/>
  </r>
  <r>
    <x v="0"/>
    <x v="0"/>
    <s v="04/04/2022"/>
    <s v="04/04/2022"/>
    <x v="5"/>
    <n v="8413"/>
    <s v="FC#116227 PANAMERIC.LIFE SEG VIDA Y ASISTENCIA MED"/>
    <m/>
    <n v="0.5"/>
    <n v="-0.5"/>
    <n v="-2.3199999999999998"/>
    <x v="1"/>
  </r>
  <r>
    <x v="0"/>
    <x v="0"/>
    <s v="04/04/2022"/>
    <s v="04/04/2022"/>
    <x v="5"/>
    <n v="8415"/>
    <s v="FC#116228 PANAMERIC.LIFE SEG VIDA Y ASISTENCIA MED"/>
    <m/>
    <n v="0.22"/>
    <n v="-0.22"/>
    <n v="-2.54"/>
    <x v="1"/>
  </r>
  <r>
    <x v="0"/>
    <x v="0"/>
    <s v="19/04/2022"/>
    <s v="19/04/2022"/>
    <x v="5"/>
    <n v="8572"/>
    <s v="ND 26570501 PAGO RETENCIONES FUENTE MARZO 2022 SRI"/>
    <n v="0.72"/>
    <m/>
    <n v="0.72"/>
    <n v="-1.82"/>
    <x v="2"/>
  </r>
  <r>
    <x v="0"/>
    <x v="0"/>
    <s v="20/05/2022"/>
    <s v="20/04/2022"/>
    <x v="4"/>
    <n v="8443"/>
    <s v="FC#546004 SEGURO AEROINSA RC-510862-END-1  OMA RES"/>
    <m/>
    <n v="8.75"/>
    <n v="-8.75"/>
    <n v="-10.57"/>
    <x v="1"/>
  </r>
  <r>
    <x v="0"/>
    <x v="0"/>
    <s v="03/05/2022"/>
    <s v="03/05/2022"/>
    <x v="4"/>
    <n v="8498"/>
    <s v="FC#117789 PANAMERIC.LIFE SEG VIDA Y ASISTENCIA MED"/>
    <m/>
    <n v="0.22"/>
    <n v="-0.22"/>
    <n v="-10.79"/>
    <x v="1"/>
  </r>
  <r>
    <x v="0"/>
    <x v="0"/>
    <s v="03/05/2022"/>
    <s v="03/05/2022"/>
    <x v="4"/>
    <n v="8499"/>
    <s v="FC#117788 PANAMERIC.LIFE SEG VIDA Y ASISTENCIA MED"/>
    <m/>
    <n v="0.5"/>
    <n v="-0.5"/>
    <n v="-11.29"/>
    <x v="1"/>
  </r>
  <r>
    <x v="0"/>
    <x v="0"/>
    <s v="19/05/2022"/>
    <s v="19/05/2022"/>
    <x v="4"/>
    <n v="8661"/>
    <s v="ND 25372192 PAGO RETENCIONES FUENTE ABRIL 2022 FOR"/>
    <n v="10.57"/>
    <m/>
    <n v="10.57"/>
    <n v="-0.72"/>
    <x v="2"/>
  </r>
  <r>
    <x v="0"/>
    <x v="0"/>
    <s v="24/05/2022"/>
    <s v="24/05/2022"/>
    <x v="4"/>
    <n v="8583"/>
    <s v="FC#2046 AIRE ACONDICIONADO PARA OFICINA VIKEMAN"/>
    <m/>
    <n v="6.08"/>
    <n v="-6.08"/>
    <n v="-6.8"/>
    <x v="1"/>
  </r>
  <r>
    <x v="0"/>
    <x v="0"/>
    <s v="01/06/2022"/>
    <s v="01/06/2022"/>
    <x v="6"/>
    <n v="8688"/>
    <s v="FC#119695 PANAMERIC.LIFE SEG VIDA Y ASISTENCIA MED"/>
    <m/>
    <n v="0.22"/>
    <n v="-0.22"/>
    <n v="-7.02"/>
    <x v="1"/>
  </r>
  <r>
    <x v="0"/>
    <x v="0"/>
    <s v="01/06/2022"/>
    <s v="01/06/2022"/>
    <x v="6"/>
    <n v="8750"/>
    <s v="FC#119694 PANAMERIC.LIFE SEG VIDA Y ASISTENCIA MED"/>
    <m/>
    <n v="0.5"/>
    <n v="-0.5"/>
    <n v="-7.52"/>
    <x v="1"/>
  </r>
  <r>
    <x v="0"/>
    <x v="0"/>
    <s v="21/06/2022"/>
    <s v="21/06/2022"/>
    <x v="6"/>
    <n v="8886"/>
    <s v="ND PAGO RETENCIONES FUENTE MAYO SRI FORM 103"/>
    <n v="6.8"/>
    <m/>
    <n v="6.8"/>
    <n v="-0.72"/>
    <x v="2"/>
  </r>
  <r>
    <x v="0"/>
    <x v="0"/>
    <s v="04/07/2022"/>
    <s v="04/07/2022"/>
    <x v="7"/>
    <n v="8801"/>
    <s v="FC#121767 PANAMERIC.LIFE SEG VIDA Y ASISTENCIA MED"/>
    <m/>
    <n v="0.22"/>
    <n v="-0.22"/>
    <n v="-0.94"/>
    <x v="1"/>
  </r>
  <r>
    <x v="0"/>
    <x v="0"/>
    <s v="04/07/2022"/>
    <s v="04/07/2022"/>
    <x v="7"/>
    <n v="8802"/>
    <s v="FC#119694 PANAMERIC.LIFE SEG VIDA Y ASISTENCIA MED"/>
    <m/>
    <n v="0.83"/>
    <n v="-0.83"/>
    <n v="-1.77"/>
    <x v="1"/>
  </r>
  <r>
    <x v="0"/>
    <x v="0"/>
    <s v="19/07/2022"/>
    <s v="19/07/2022"/>
    <x v="7"/>
    <n v="8956"/>
    <s v="ND PAGO RETEN FTE JUNIO 2022 FORM 103 SRI"/>
    <n v="228.52"/>
    <m/>
    <n v="228.52"/>
    <n v="226.75"/>
    <x v="3"/>
  </r>
  <r>
    <x v="0"/>
    <x v="0"/>
    <s v="19/07/2022"/>
    <s v="19/07/2022"/>
    <x v="7"/>
    <n v="8986"/>
    <s v="ND PAGO RETEN FTE JUNIO 2022 FORM 103 SRI(Anulació"/>
    <n v="-228.52"/>
    <m/>
    <n v="-228.52"/>
    <n v="-1.77"/>
    <x v="3"/>
  </r>
  <r>
    <x v="0"/>
    <x v="0"/>
    <s v="19/07/2022"/>
    <s v="19/07/2022"/>
    <x v="7"/>
    <n v="8987"/>
    <s v="ND PAGO RETEN FTE JUNIO 2022 FORM 103 SRI"/>
    <n v="0.72"/>
    <m/>
    <n v="0.72"/>
    <n v="-1.05"/>
    <x v="2"/>
  </r>
  <r>
    <x v="0"/>
    <x v="0"/>
    <s v="29/07/2022"/>
    <s v="29/07/2022"/>
    <x v="7"/>
    <n v="8846"/>
    <s v="FACT. 460836 COMPRAS VARIAS MANTENIMIENTO BANO VIP"/>
    <m/>
    <n v="13.83"/>
    <n v="-13.83"/>
    <n v="-14.88"/>
    <x v="1"/>
  </r>
  <r>
    <x v="0"/>
    <x v="0"/>
    <s v="01/08/2022"/>
    <s v="01/08/2022"/>
    <x v="8"/>
    <n v="9027"/>
    <s v="FC#123262 PANAMERIC.LIFE SEG VIDA Y ASISTENCIA MED"/>
    <m/>
    <n v="0.67"/>
    <n v="-0.67"/>
    <n v="-15.55"/>
    <x v="1"/>
  </r>
  <r>
    <x v="0"/>
    <x v="0"/>
    <s v="05/08/2022"/>
    <s v="05/08/2022"/>
    <x v="8"/>
    <n v="9115"/>
    <s v="FC#123559 PANAMERIC.LIFE SEG VIDA Y ASISTENCIA MED"/>
    <m/>
    <n v="0.22"/>
    <n v="-0.22"/>
    <n v="-15.77"/>
    <x v="1"/>
  </r>
  <r>
    <x v="0"/>
    <x v="0"/>
    <s v="19/08/2022"/>
    <s v="19/08/2022"/>
    <x v="8"/>
    <n v="9152"/>
    <s v="ND PAGO RETENCIONES FUENTE JULIO 2022 SRI FORM 103"/>
    <n v="14.88"/>
    <m/>
    <n v="14.88"/>
    <n v="-0.89"/>
    <x v="2"/>
  </r>
  <r>
    <x v="0"/>
    <x v="0"/>
    <s v="05/09/2022"/>
    <s v="05/09/2022"/>
    <x v="9"/>
    <n v="9176"/>
    <s v="FC#125589 PANAMERIC.LIFE SEG VIDA Y ASISTENCIA MED"/>
    <m/>
    <n v="0.67"/>
    <n v="-0.67"/>
    <n v="-1.56"/>
    <x v="1"/>
  </r>
  <r>
    <x v="0"/>
    <x v="0"/>
    <s v="05/09/2022"/>
    <s v="05/09/2022"/>
    <x v="9"/>
    <n v="9177"/>
    <s v="FC#125590 PANAMERIC.LIFE SEG VIDA Y ASISTENCIA MED"/>
    <m/>
    <n v="0.22"/>
    <n v="-0.22"/>
    <n v="-1.78"/>
    <x v="1"/>
  </r>
  <r>
    <x v="0"/>
    <x v="0"/>
    <s v="20/09/2022"/>
    <s v="20/09/2022"/>
    <x v="9"/>
    <n v="9284"/>
    <s v="ND 29962985 PAGO RETEN FTE AGOSTO 2022 SRI FORM 10"/>
    <n v="0.89"/>
    <m/>
    <n v="0.89"/>
    <n v="-0.89"/>
    <x v="2"/>
  </r>
  <r>
    <x v="0"/>
    <x v="0"/>
    <s v="03/10/2022"/>
    <s v="03/10/2022"/>
    <x v="10"/>
    <n v="9385"/>
    <s v="FC#127220 PANAMERIC.LIFE SEG VIDA Y ASISTENCIA MED"/>
    <m/>
    <n v="0.67"/>
    <n v="-0.67"/>
    <n v="-1.56"/>
    <x v="1"/>
  </r>
  <r>
    <x v="0"/>
    <x v="0"/>
    <s v="03/10/2022"/>
    <s v="03/10/2022"/>
    <x v="10"/>
    <n v="9386"/>
    <s v="FC#127223 PANAMERIC.LIFE SEG VIDA Y ASISTENCIA MED"/>
    <m/>
    <n v="0.22"/>
    <n v="-0.22"/>
    <n v="-1.78"/>
    <x v="1"/>
  </r>
  <r>
    <x v="0"/>
    <x v="0"/>
    <s v="03/10/2022"/>
    <s v="03/10/2022"/>
    <x v="10"/>
    <n v="9443"/>
    <s v="Factura de proveedores - Cancelación - PN179260268"/>
    <m/>
    <n v="-0.22"/>
    <n v="0.22"/>
    <n v="-1.56"/>
    <x v="1"/>
  </r>
  <r>
    <x v="0"/>
    <x v="0"/>
    <s v="03/10/2022"/>
    <s v="03/10/2022"/>
    <x v="10"/>
    <n v="9444"/>
    <s v="FC#127223 PANAMERIC.LIFE SEG VIDA Y ASISTENCIA MED"/>
    <m/>
    <n v="0.22"/>
    <n v="-0.22"/>
    <n v="-1.78"/>
    <x v="1"/>
  </r>
  <r>
    <x v="0"/>
    <x v="0"/>
    <s v="19/10/2022"/>
    <s v="19/10/2022"/>
    <x v="10"/>
    <n v="9424"/>
    <s v="ND 30480126 PAGO RETEN FUENTE SEP 2022 SRI FORM 10"/>
    <n v="0.89"/>
    <m/>
    <n v="0.89"/>
    <n v="-0.89"/>
    <x v="2"/>
  </r>
  <r>
    <x v="0"/>
    <x v="0"/>
    <s v="28/11/2022"/>
    <s v="28/10/2022"/>
    <x v="11"/>
    <n v="9403"/>
    <s v="FC#623492 SEGURO POLIZA CASCO-PERD LICENCIAS CA-51"/>
    <m/>
    <n v="141.5"/>
    <n v="-141.5"/>
    <n v="-142.38999999999999"/>
    <x v="1"/>
  </r>
  <r>
    <x v="0"/>
    <x v="0"/>
    <s v="28/11/2022"/>
    <s v="28/10/2022"/>
    <x v="11"/>
    <n v="9404"/>
    <s v="FC#623493 SEGURO POLIZA CASCO-PERD LICENCIAS CA-51"/>
    <m/>
    <n v="10.44"/>
    <n v="-10.44"/>
    <n v="-152.83000000000001"/>
    <x v="1"/>
  </r>
  <r>
    <x v="0"/>
    <x v="0"/>
    <s v="01/11/2022"/>
    <s v="01/11/2022"/>
    <x v="11"/>
    <n v="9438"/>
    <s v="FC#129114 PANAMERIC.LIFE SEG VIDA Y ASISTENCIA MED"/>
    <m/>
    <n v="0.67"/>
    <n v="-0.67"/>
    <n v="-153.5"/>
    <x v="1"/>
  </r>
  <r>
    <x v="0"/>
    <x v="0"/>
    <s v="07/11/2022"/>
    <s v="07/11/2022"/>
    <x v="11"/>
    <n v="9441"/>
    <s v="FC#129208 PANAMERIC.LIFE SEG VIDA Y ASISTENCIA MED"/>
    <m/>
    <n v="0.22"/>
    <n v="-0.22"/>
    <n v="-153.72"/>
    <x v="1"/>
  </r>
  <r>
    <x v="0"/>
    <x v="0"/>
    <s v="21/11/2022"/>
    <s v="21/11/2022"/>
    <x v="11"/>
    <n v="9587"/>
    <s v="ND 126808290 PAGO RETEN FTE OCT 2022 SRI"/>
    <n v="152.83000000000001"/>
    <m/>
    <n v="152.83000000000001"/>
    <n v="-0.89"/>
    <x v="2"/>
  </r>
  <r>
    <x v="0"/>
    <x v="0"/>
    <s v="28/11/2022"/>
    <s v="28/11/2022"/>
    <x v="11"/>
    <n v="9547"/>
    <s v="FC#894 COMPRA DE ACEITE HELICOPTERO HC-CVK"/>
    <m/>
    <n v="5.04"/>
    <n v="-5.04"/>
    <n v="-5.93"/>
    <x v="1"/>
  </r>
  <r>
    <x v="0"/>
    <x v="0"/>
    <s v="20/12/2022"/>
    <s v="20/12/2022"/>
    <x v="12"/>
    <n v="9727"/>
    <s v="ND 40523738 PAGO RETEN FTE NOV 2022 SRI FORM 103"/>
    <n v="5.93"/>
    <m/>
    <n v="5.93"/>
    <n v="0"/>
    <x v="2"/>
  </r>
  <r>
    <x v="1"/>
    <x v="1"/>
    <n v="2021"/>
    <s v="Pasivos"/>
    <x v="7"/>
    <m/>
    <s v="Retención Fuente 2.75%"/>
    <m/>
    <m/>
    <n v="-1073.7"/>
    <n v="-1073.7"/>
    <x v="0"/>
  </r>
  <r>
    <x v="1"/>
    <x v="1"/>
    <s v="03/01/2022"/>
    <s v="01/01/2022"/>
    <x v="1"/>
    <n v="8007"/>
    <s v="FAC,.4950 INCINERATOR-PASSENGER-ADMINISTRACION"/>
    <m/>
    <n v="6.54"/>
    <n v="-6.54"/>
    <n v="-1080.24"/>
    <x v="1"/>
  </r>
  <r>
    <x v="1"/>
    <x v="1"/>
    <s v="03/01/2022"/>
    <s v="01/01/2022"/>
    <x v="1"/>
    <n v="8008"/>
    <s v="FAC. 4948 SERVICIOS COMPELEMTARIOS"/>
    <m/>
    <n v="3.93"/>
    <n v="-3.93"/>
    <n v="-1084.17"/>
    <x v="1"/>
  </r>
  <r>
    <x v="1"/>
    <x v="1"/>
    <s v="03/01/2022"/>
    <s v="03/01/2022"/>
    <x v="1"/>
    <n v="7938"/>
    <s v="FC 268828 INTERNET DEDICADO 5MB- MADIR-AEROPUERTO-"/>
    <m/>
    <n v="1.38"/>
    <n v="-1.38"/>
    <n v="-1085.55"/>
    <x v="1"/>
  </r>
  <r>
    <x v="1"/>
    <x v="1"/>
    <s v="06/01/2022"/>
    <s v="06/01/2022"/>
    <x v="1"/>
    <n v="7944"/>
    <s v="FC.8228 E.M.A. TARIFA CORPORATIVA VALORADO AL 31 D"/>
    <m/>
    <n v="6.33"/>
    <n v="-6.33"/>
    <n v="-1091.8800000000001"/>
    <x v="1"/>
  </r>
  <r>
    <x v="1"/>
    <x v="1"/>
    <s v="11/02/2022"/>
    <s v="11/01/2022"/>
    <x v="2"/>
    <n v="8012"/>
    <s v="FAC.20671 ARRIENDO DE ESPACIO AEROPUESTO G. NOV-DI"/>
    <m/>
    <n v="121"/>
    <n v="-121"/>
    <n v="-1212.8800000000001"/>
    <x v="1"/>
  </r>
  <r>
    <x v="1"/>
    <x v="1"/>
    <s v="12/01/2022"/>
    <s v="12/01/2022"/>
    <x v="1"/>
    <n v="8011"/>
    <s v="FACX. 964 AUDITORIA A LOS ESTADOS DINANCIEROS AL 3"/>
    <m/>
    <n v="11"/>
    <n v="-11"/>
    <n v="-1223.8800000000001"/>
    <x v="1"/>
  </r>
  <r>
    <x v="1"/>
    <x v="1"/>
    <s v="18/02/2022"/>
    <s v="18/01/2022"/>
    <x v="2"/>
    <n v="8013"/>
    <s v="FAC. 20710 ARRIENDO DE ESPACIO AEROPUESTO G. MES D"/>
    <m/>
    <n v="60.5"/>
    <n v="-60.5"/>
    <n v="-1284.3800000000001"/>
    <x v="1"/>
  </r>
  <r>
    <x v="1"/>
    <x v="1"/>
    <s v="18/02/2022"/>
    <s v="18/01/2022"/>
    <x v="2"/>
    <n v="8014"/>
    <s v="FAC. 20713 VARIABLE MENSUAL SOBRE VENTAS 10%"/>
    <m/>
    <n v="11.89"/>
    <n v="-11.89"/>
    <n v="-1296.27"/>
    <x v="1"/>
  </r>
  <r>
    <x v="1"/>
    <x v="1"/>
    <s v="19/01/2022"/>
    <s v="19/01/2022"/>
    <x v="1"/>
    <n v="7968"/>
    <s v="FACT. 301966 RENOVACION FIRMA ELECTRONICA MEM SECU"/>
    <m/>
    <n v="0.55000000000000004"/>
    <n v="-0.55000000000000004"/>
    <n v="-1296.82"/>
    <x v="1"/>
  </r>
  <r>
    <x v="1"/>
    <x v="1"/>
    <s v="19/01/2022"/>
    <s v="19/01/2022"/>
    <x v="1"/>
    <n v="8072"/>
    <s v="ND PAGO RETENCIONES FUENTE DIC 2021 FORM 103 SRI"/>
    <n v="1073.7"/>
    <m/>
    <n v="1073.7"/>
    <n v="-223.12"/>
    <x v="2"/>
  </r>
  <r>
    <x v="1"/>
    <x v="1"/>
    <s v="21/01/2022"/>
    <s v="21/01/2022"/>
    <x v="1"/>
    <n v="8020"/>
    <s v="FAC.3342 HONORARIO NULIDAD DE SENTENCIA EDISON CAL"/>
    <m/>
    <n v="4.54"/>
    <n v="-4.54"/>
    <n v="-227.66"/>
    <x v="1"/>
  </r>
  <r>
    <x v="1"/>
    <x v="1"/>
    <s v="24/01/2022"/>
    <s v="24/01/2022"/>
    <x v="1"/>
    <n v="7970"/>
    <s v="FAC.16631 INGRESO ECUAPAS,ADM. VTO.SERVICIOS DE EM"/>
    <m/>
    <n v="11.41"/>
    <n v="-11.41"/>
    <n v="-239.07"/>
    <x v="1"/>
  </r>
  <r>
    <x v="1"/>
    <x v="1"/>
    <s v="27/01/2022"/>
    <s v="27/01/2022"/>
    <x v="1"/>
    <n v="8083"/>
    <s v="FAC. 4341 SERVICIOS POR ACTIVIDADES DE COMERCIO EX"/>
    <m/>
    <n v="13.2"/>
    <n v="-13.2"/>
    <n v="-252.27"/>
    <x v="1"/>
  </r>
  <r>
    <x v="1"/>
    <x v="1"/>
    <s v="01/02/2022"/>
    <s v="01/02/2022"/>
    <x v="2"/>
    <n v="8085"/>
    <s v="FAC. 000271778 INTERNET DEDICADO 5MB- MADIR-AEROPU"/>
    <m/>
    <n v="1.38"/>
    <n v="-1.38"/>
    <n v="-253.65"/>
    <x v="1"/>
  </r>
  <r>
    <x v="1"/>
    <x v="1"/>
    <s v="01/02/2022"/>
    <s v="01/02/2022"/>
    <x v="2"/>
    <n v="8086"/>
    <s v="FAC.985 AUDITORIA A LOS ESTADOS FINANCIEROS AL 31/"/>
    <m/>
    <n v="11"/>
    <n v="-11"/>
    <n v="-264.64999999999998"/>
    <x v="1"/>
  </r>
  <r>
    <x v="1"/>
    <x v="1"/>
    <s v="03/03/2022"/>
    <s v="03/02/2022"/>
    <x v="3"/>
    <n v="8089"/>
    <s v="FAC. 20737 ARRIENDO DE ESPACIO AEROPUESTO G. MES D"/>
    <m/>
    <n v="60.5"/>
    <n v="-60.5"/>
    <n v="-325.14999999999998"/>
    <x v="1"/>
  </r>
  <r>
    <x v="1"/>
    <x v="1"/>
    <s v="07/03/2022"/>
    <s v="07/02/2022"/>
    <x v="3"/>
    <n v="8092"/>
    <s v="FAC. 20890 VARIABLE MENSUAL SOBRE VENTAS 10%"/>
    <m/>
    <n v="11.94"/>
    <n v="-11.94"/>
    <n v="-337.09"/>
    <x v="1"/>
  </r>
  <r>
    <x v="1"/>
    <x v="1"/>
    <s v="10/02/2022"/>
    <s v="10/02/2022"/>
    <x v="2"/>
    <n v="8108"/>
    <s v="FAC. 4346 SERVICIOS POR ACTIVIDADES DE COMERCIO EX"/>
    <m/>
    <n v="190.03"/>
    <n v="-190.03"/>
    <n v="-527.12"/>
    <x v="1"/>
  </r>
  <r>
    <x v="1"/>
    <x v="1"/>
    <s v="10/03/2022"/>
    <s v="10/02/2022"/>
    <x v="3"/>
    <n v="8264"/>
    <s v="FC#20982 TARIFA ANUAL NACIONAL AERONAUTICA HC-VCK"/>
    <m/>
    <n v="4.0999999999999996"/>
    <n v="-4.0999999999999996"/>
    <n v="-531.22"/>
    <x v="1"/>
  </r>
  <r>
    <x v="1"/>
    <x v="1"/>
    <s v="10/03/2022"/>
    <s v="10/02/2022"/>
    <x v="3"/>
    <n v="8267"/>
    <s v="Factura de proveedores - Cancelación - PN099233675"/>
    <m/>
    <n v="-4.0999999999999996"/>
    <n v="4.0999999999999996"/>
    <n v="-527.12"/>
    <x v="1"/>
  </r>
  <r>
    <x v="1"/>
    <x v="1"/>
    <s v="16/02/2022"/>
    <s v="16/02/2022"/>
    <x v="2"/>
    <n v="8113"/>
    <s v="FACT. 13564 HOTEL ORO VERDE HOSPEDAJE DIEGO SERRAN"/>
    <m/>
    <n v="1.65"/>
    <n v="-1.65"/>
    <n v="-528.77"/>
    <x v="1"/>
  </r>
  <r>
    <x v="1"/>
    <x v="1"/>
    <s v="16/02/2022"/>
    <s v="16/02/2022"/>
    <x v="2"/>
    <n v="8114"/>
    <s v="FACT. 13564 HOTEL ORO VERDE HOSPEDAJE PAUL DEL CAS"/>
    <m/>
    <n v="3.3"/>
    <n v="-3.3"/>
    <n v="-532.07000000000005"/>
    <x v="1"/>
  </r>
  <r>
    <x v="1"/>
    <x v="1"/>
    <s v="16/02/2022"/>
    <s v="16/02/2022"/>
    <x v="2"/>
    <n v="8115"/>
    <s v="FACT. 16335 HOTEL ORO VERDE HOSPEDAJE GUILLERMO RO"/>
    <m/>
    <n v="3.3"/>
    <n v="-3.3"/>
    <n v="-535.37"/>
    <x v="1"/>
  </r>
  <r>
    <x v="1"/>
    <x v="1"/>
    <s v="21/02/2022"/>
    <s v="21/02/2022"/>
    <x v="2"/>
    <n v="8312"/>
    <s v="ND PAGO RETEN FTE ENERO 2022 SRI FORMULARIO 103"/>
    <n v="252.27"/>
    <m/>
    <n v="252.27"/>
    <n v="-283.10000000000002"/>
    <x v="2"/>
  </r>
  <r>
    <x v="1"/>
    <x v="1"/>
    <s v="25/02/2022"/>
    <s v="25/02/2022"/>
    <x v="2"/>
    <n v="8262"/>
    <s v="FC#16547 HOTEL ORO VERDE HOSPEDAJE DIEGO SERRANO 2"/>
    <m/>
    <n v="3.3"/>
    <n v="-3.3"/>
    <n v="-286.39999999999998"/>
    <x v="1"/>
  </r>
  <r>
    <x v="1"/>
    <x v="1"/>
    <s v="02/03/2022"/>
    <s v="02/03/2022"/>
    <x v="3"/>
    <n v="8285"/>
    <s v="FC#274770 INTERNET DEDICADO 5MB- MADIR-AEROPUERTO-"/>
    <m/>
    <n v="1.38"/>
    <n v="-1.38"/>
    <n v="-287.77999999999997"/>
    <x v="1"/>
  </r>
  <r>
    <x v="1"/>
    <x v="1"/>
    <s v="04/04/2022"/>
    <s v="03/03/2022"/>
    <x v="5"/>
    <n v="8286"/>
    <s v="FC#21106 ARRIENDO DE ESPACIO AEROPUERTO G. LC:15-C"/>
    <m/>
    <n v="60.5"/>
    <n v="-60.5"/>
    <n v="-348.28"/>
    <x v="1"/>
  </r>
  <r>
    <x v="1"/>
    <x v="1"/>
    <s v="04/03/2022"/>
    <s v="04/03/2022"/>
    <x v="3"/>
    <n v="8288"/>
    <s v="FC#1730 CARMIGNIANI PEREZ, SERVICIOS ADMINISTRATIV"/>
    <m/>
    <n v="0.31"/>
    <n v="-0.31"/>
    <n v="-348.59"/>
    <x v="1"/>
  </r>
  <r>
    <x v="1"/>
    <x v="1"/>
    <s v="04/03/2022"/>
    <s v="04/03/2022"/>
    <x v="3"/>
    <n v="8289"/>
    <s v="FC#3454 HON. PROF.  LOCALES ENE-2022 PROFORMA 2180"/>
    <m/>
    <n v="11.92"/>
    <n v="-11.92"/>
    <n v="-360.51"/>
    <x v="1"/>
  </r>
  <r>
    <x v="1"/>
    <x v="1"/>
    <s v="08/03/2022"/>
    <s v="08/03/2022"/>
    <x v="3"/>
    <n v="8290"/>
    <s v="FC#10085 HOSPEDAJE JAVIER QUISHPE DEL 07 AL 08 MAR"/>
    <m/>
    <n v="0.82"/>
    <n v="-0.82"/>
    <n v="-361.33"/>
    <x v="1"/>
  </r>
  <r>
    <x v="1"/>
    <x v="1"/>
    <s v="08/03/2022"/>
    <s v="08/03/2022"/>
    <x v="3"/>
    <n v="8291"/>
    <s v="FC#178 SERVICIO DESINFECCION, FUMIGACION Y CONTROL"/>
    <m/>
    <n v="5.23"/>
    <n v="-5.23"/>
    <n v="-366.56"/>
    <x v="1"/>
  </r>
  <r>
    <x v="1"/>
    <x v="1"/>
    <s v="08/04/2022"/>
    <s v="08/03/2022"/>
    <x v="5"/>
    <n v="8349"/>
    <s v="FC#21194 VARIABLE MENSUAL POR CONCESIÓN MERCANTIL"/>
    <m/>
    <n v="11.94"/>
    <n v="-11.94"/>
    <n v="-378.5"/>
    <x v="1"/>
  </r>
  <r>
    <x v="1"/>
    <x v="1"/>
    <s v="09/03/2022"/>
    <s v="09/03/2022"/>
    <x v="3"/>
    <n v="8348"/>
    <s v="FC#1023 AUDITORIA A LOS ESTADOS FINANCIEROS AL 31/"/>
    <m/>
    <n v="11"/>
    <n v="-11"/>
    <n v="-389.5"/>
    <x v="1"/>
  </r>
  <r>
    <x v="1"/>
    <x v="1"/>
    <s v="10/03/2022"/>
    <s v="10/03/2022"/>
    <x v="3"/>
    <n v="8351"/>
    <s v="FC#48 IMPLANTACION SISTEMA SEGURIDAD OPERACIONAL S"/>
    <m/>
    <n v="55"/>
    <n v="-55"/>
    <n v="-444.5"/>
    <x v="1"/>
  </r>
  <r>
    <x v="1"/>
    <x v="1"/>
    <s v="14/03/2022"/>
    <s v="12/03/2022"/>
    <x v="3"/>
    <n v="8322"/>
    <s v="FC#8 SERVICIOS PROFESIONALES"/>
    <m/>
    <n v="13.63"/>
    <n v="-13.63"/>
    <n v="-458.13"/>
    <x v="1"/>
  </r>
  <r>
    <x v="1"/>
    <x v="1"/>
    <s v="14/03/2022"/>
    <s v="14/03/2022"/>
    <x v="3"/>
    <n v="8321"/>
    <s v="FC#553 MTTO BELL 407, BELL 505 FEB-MAR/2022 - MTTO"/>
    <m/>
    <n v="16.5"/>
    <n v="-16.5"/>
    <n v="-474.63"/>
    <x v="1"/>
  </r>
  <r>
    <x v="1"/>
    <x v="1"/>
    <s v="18/03/2022"/>
    <s v="18/03/2022"/>
    <x v="3"/>
    <n v="8334"/>
    <s v="FC#17254 HOTEL ORO VERDE HOSPEDAJE DIEGO SERRANO 1"/>
    <m/>
    <n v="1.65"/>
    <n v="-1.65"/>
    <n v="-476.28"/>
    <x v="1"/>
  </r>
  <r>
    <x v="1"/>
    <x v="1"/>
    <s v="21/03/2022"/>
    <s v="21/03/2022"/>
    <x v="3"/>
    <n v="8369"/>
    <s v="ND PAGO RETENCION FUENTE FEBRERO 2022 SRI FORM 103"/>
    <n v="286.39999999999998"/>
    <m/>
    <n v="286.39999999999998"/>
    <n v="-189.88"/>
    <x v="2"/>
  </r>
  <r>
    <x v="1"/>
    <x v="1"/>
    <s v="01/04/2022"/>
    <s v="01/04/2022"/>
    <x v="5"/>
    <n v="8407"/>
    <s v="FC#277640 INTERNET DEDICADO 5MB- MADIR-AEROPUERTO-"/>
    <m/>
    <n v="1.38"/>
    <n v="-1.38"/>
    <n v="-191.26"/>
    <x v="1"/>
  </r>
  <r>
    <x v="1"/>
    <x v="1"/>
    <s v="01/04/2022"/>
    <s v="01/04/2022"/>
    <x v="5"/>
    <n v="8409"/>
    <s v="FC#17765 HOTEL ORO VERDE HOSPEDAJE PAUL DEL CASTIL"/>
    <m/>
    <n v="1.65"/>
    <n v="-1.65"/>
    <n v="-192.91"/>
    <x v="1"/>
  </r>
  <r>
    <x v="1"/>
    <x v="1"/>
    <s v="01/04/2022"/>
    <s v="01/04/2022"/>
    <x v="5"/>
    <n v="8411"/>
    <s v="FC#17775 HOTEL ORO VERDE HOSPEDAJE GUILLERMO RODAS"/>
    <m/>
    <n v="1.65"/>
    <n v="-1.65"/>
    <n v="-194.56"/>
    <x v="1"/>
  </r>
  <r>
    <x v="1"/>
    <x v="1"/>
    <s v="01/04/2022"/>
    <s v="01/04/2022"/>
    <x v="5"/>
    <n v="8477"/>
    <s v="FC#5516 GH &amp; PARKING MARZO 2022 ECUACENTAIR"/>
    <m/>
    <n v="70.13"/>
    <n v="-70.13"/>
    <n v="-264.69"/>
    <x v="1"/>
  </r>
  <r>
    <x v="1"/>
    <x v="1"/>
    <s v="06/05/2022"/>
    <s v="06/04/2022"/>
    <x v="4"/>
    <n v="8474"/>
    <s v="FC#21369 ARRIENDO DE ESPACIO AEROPUERTO G. LC:15-C"/>
    <m/>
    <n v="60.5"/>
    <n v="-60.5"/>
    <n v="-325.19"/>
    <x v="1"/>
  </r>
  <r>
    <x v="1"/>
    <x v="1"/>
    <s v="08/04/2022"/>
    <s v="08/04/2022"/>
    <x v="5"/>
    <n v="8417"/>
    <s v="FC#3525 HON. PROF. LOCALES FEB-2022 PROFORMA 21906"/>
    <m/>
    <n v="6.14"/>
    <n v="-6.14"/>
    <n v="-331.33"/>
    <x v="1"/>
  </r>
  <r>
    <x v="1"/>
    <x v="1"/>
    <s v="08/04/2022"/>
    <s v="08/04/2022"/>
    <x v="5"/>
    <n v="8478"/>
    <s v="FC#5582 ATENCION VUEVLO 28/03/22 Y 08/04/2022  N24"/>
    <m/>
    <n v="16.47"/>
    <n v="-16.47"/>
    <n v="-347.8"/>
    <x v="1"/>
  </r>
  <r>
    <x v="1"/>
    <x v="1"/>
    <s v="13/04/2022"/>
    <s v="13/04/2022"/>
    <x v="5"/>
    <n v="8418"/>
    <s v="FC#18145 HOTEL ORO VERDE HOSPEDAJE GUILLERMO RODAS"/>
    <m/>
    <n v="1.65"/>
    <n v="-1.65"/>
    <n v="-349.45"/>
    <x v="1"/>
  </r>
  <r>
    <x v="1"/>
    <x v="1"/>
    <s v="13/04/2022"/>
    <s v="13/04/2022"/>
    <x v="5"/>
    <n v="8419"/>
    <s v="FC#18155 HOTEL ORO VERDE HOSPEDAJE PAUL DEL CASTIL"/>
    <m/>
    <n v="1.65"/>
    <n v="-1.65"/>
    <n v="-351.1"/>
    <x v="1"/>
  </r>
  <r>
    <x v="1"/>
    <x v="1"/>
    <s v="13/04/2022"/>
    <s v="13/04/2022"/>
    <x v="5"/>
    <n v="8475"/>
    <s v="FC#18144 HOTEL ORO VERDE HOSPEDAJE GUILLERMO RODAS"/>
    <m/>
    <n v="1.65"/>
    <n v="-1.65"/>
    <n v="-352.75"/>
    <x v="1"/>
  </r>
  <r>
    <x v="1"/>
    <x v="1"/>
    <s v="19/05/2022"/>
    <s v="19/04/2022"/>
    <x v="4"/>
    <n v="8420"/>
    <s v="FC#21565 VARIABLE MENSUAL POR CONCESIÓN MERCANTIL"/>
    <m/>
    <n v="11.94"/>
    <n v="-11.94"/>
    <n v="-364.69"/>
    <x v="1"/>
  </r>
  <r>
    <x v="1"/>
    <x v="1"/>
    <s v="19/04/2022"/>
    <s v="19/04/2022"/>
    <x v="5"/>
    <n v="8479"/>
    <s v="FC#5639 ATENCION VUEVLO 11 Y 12 DE ABRIL  N245FH E"/>
    <m/>
    <n v="17.11"/>
    <n v="-17.11"/>
    <n v="-381.8"/>
    <x v="1"/>
  </r>
  <r>
    <x v="1"/>
    <x v="1"/>
    <s v="19/04/2022"/>
    <s v="19/04/2022"/>
    <x v="5"/>
    <n v="8480"/>
    <s v="FC#5640 ATENCION VUELO 13 Y 15 DE ABRIL  N245FH EC"/>
    <m/>
    <n v="13.24"/>
    <n v="-13.24"/>
    <n v="-395.04"/>
    <x v="1"/>
  </r>
  <r>
    <x v="1"/>
    <x v="1"/>
    <s v="19/04/2022"/>
    <s v="19/04/2022"/>
    <x v="5"/>
    <n v="8572"/>
    <s v="ND 26570501 PAGO RETENCIONES FUENTE MARZO 2022 SRI"/>
    <n v="189.86"/>
    <m/>
    <n v="189.86"/>
    <n v="-205.18"/>
    <x v="2"/>
  </r>
  <r>
    <x v="1"/>
    <x v="1"/>
    <s v="21/04/2022"/>
    <s v="21/04/2022"/>
    <x v="5"/>
    <n v="8444"/>
    <s v="FC#3569 HON. PROF. LOCALES MAR-2022 PROFORMA 22024"/>
    <m/>
    <n v="1.28"/>
    <n v="-1.28"/>
    <n v="-206.46"/>
    <x v="1"/>
  </r>
  <r>
    <x v="1"/>
    <x v="1"/>
    <s v="02/05/2022"/>
    <s v="01/05/2022"/>
    <x v="4"/>
    <n v="8521"/>
    <s v="FC#5229 GH &amp; PARKING DICIEMBRE 2021 ECUACENTAIR"/>
    <m/>
    <n v="70.13"/>
    <n v="-70.13"/>
    <n v="-276.58999999999997"/>
    <x v="1"/>
  </r>
  <r>
    <x v="1"/>
    <x v="1"/>
    <s v="02/05/2022"/>
    <s v="01/05/2022"/>
    <x v="4"/>
    <n v="8522"/>
    <s v="FC#5230 GH &amp; PARKING ENERO 2022 ECUACENTAIR"/>
    <m/>
    <n v="70.13"/>
    <n v="-70.13"/>
    <n v="-346.72"/>
    <x v="1"/>
  </r>
  <r>
    <x v="1"/>
    <x v="1"/>
    <s v="02/05/2022"/>
    <s v="01/05/2022"/>
    <x v="4"/>
    <n v="8523"/>
    <s v="FC#5304 GH &amp; PARKING FEBRERO 2022 N245FH ECUACENTA"/>
    <m/>
    <n v="70.13"/>
    <n v="-70.13"/>
    <n v="-416.85"/>
    <x v="1"/>
  </r>
  <r>
    <x v="1"/>
    <x v="1"/>
    <s v="02/05/2022"/>
    <s v="01/05/2022"/>
    <x v="4"/>
    <n v="8524"/>
    <s v="FC#5719 GH &amp; PARKING ABRIL 2022 ECUACENTAIR"/>
    <m/>
    <n v="70.13"/>
    <n v="-70.13"/>
    <n v="-486.98"/>
    <x v="1"/>
  </r>
  <r>
    <x v="1"/>
    <x v="1"/>
    <s v="02/05/2022"/>
    <s v="01/05/2022"/>
    <x v="4"/>
    <n v="8525"/>
    <s v="FC#5180 ATENCION VUELO 01/12/21 Y 03/02/2022  N245"/>
    <m/>
    <n v="14.05"/>
    <n v="-14.05"/>
    <n v="-501.03"/>
    <x v="1"/>
  </r>
  <r>
    <x v="1"/>
    <x v="1"/>
    <s v="02/05/2022"/>
    <s v="01/05/2022"/>
    <x v="4"/>
    <n v="8526"/>
    <s v="FC#5228 ATENCION VUEVLO 06/02/22 Y 14/02/2022  N24"/>
    <m/>
    <n v="10.92"/>
    <n v="-10.92"/>
    <n v="-511.95"/>
    <x v="1"/>
  </r>
  <r>
    <x v="1"/>
    <x v="1"/>
    <s v="02/05/2022"/>
    <s v="01/05/2022"/>
    <x v="4"/>
    <n v="8527"/>
    <s v="FC#5293 ATENCION VUEVLO 16/02/22 Y 25/02/2022  N24"/>
    <m/>
    <n v="7.51"/>
    <n v="-7.51"/>
    <n v="-519.46"/>
    <x v="1"/>
  </r>
  <r>
    <x v="1"/>
    <x v="1"/>
    <s v="02/05/2022"/>
    <s v="01/05/2022"/>
    <x v="4"/>
    <n v="8528"/>
    <s v="FC#5367 ATENCION VUELO 01/03/22 Y 02/03/2022  N245"/>
    <m/>
    <n v="17.88"/>
    <n v="-17.88"/>
    <n v="-537.34"/>
    <x v="1"/>
  </r>
  <r>
    <x v="1"/>
    <x v="1"/>
    <s v="02/05/2022"/>
    <s v="01/05/2022"/>
    <x v="4"/>
    <n v="8529"/>
    <s v="FC#5466 ATENCION VUEVLO 28/03/22 Y 08/04/2022  N24"/>
    <m/>
    <n v="15.46"/>
    <n v="-15.46"/>
    <n v="-552.79999999999995"/>
    <x v="1"/>
  </r>
  <r>
    <x v="1"/>
    <x v="1"/>
    <s v="02/05/2022"/>
    <s v="01/05/2022"/>
    <x v="4"/>
    <n v="8530"/>
    <s v="Factura de proveedores - Cancelación - PN179243166"/>
    <m/>
    <n v="-14.05"/>
    <n v="14.05"/>
    <n v="-538.75"/>
    <x v="1"/>
  </r>
  <r>
    <x v="1"/>
    <x v="1"/>
    <s v="02/05/2022"/>
    <s v="01/05/2022"/>
    <x v="4"/>
    <n v="8531"/>
    <s v="FC#5180 ATENCION VUELO 01/12/21 Y 03/02/2022  N245"/>
    <m/>
    <n v="14.05"/>
    <n v="-14.05"/>
    <n v="-552.79999999999995"/>
    <x v="1"/>
  </r>
  <r>
    <x v="1"/>
    <x v="1"/>
    <s v="03/05/2022"/>
    <s v="03/05/2022"/>
    <x v="4"/>
    <n v="8486"/>
    <s v="FC#450260 LAARCOM SERVICIO MONITOREO HANGAR GYE MA"/>
    <m/>
    <n v="6.27"/>
    <n v="-6.27"/>
    <n v="-559.07000000000005"/>
    <x v="1"/>
  </r>
  <r>
    <x v="1"/>
    <x v="1"/>
    <s v="03/05/2022"/>
    <s v="03/05/2022"/>
    <x v="4"/>
    <n v="8497"/>
    <s v="FC#280820 INTERNET DEDICADO 5MB- MADIR-AEROPUERTO-"/>
    <m/>
    <n v="1.38"/>
    <n v="-1.38"/>
    <n v="-560.45000000000005"/>
    <x v="1"/>
  </r>
  <r>
    <x v="1"/>
    <x v="1"/>
    <s v="04/05/2022"/>
    <s v="04/05/2022"/>
    <x v="4"/>
    <n v="8467"/>
    <s v="FC#9665 TRABAJOS MTTO CAMBIO STRAP EN EL CVK"/>
    <m/>
    <n v="125.95"/>
    <n v="-125.95"/>
    <n v="-686.4"/>
    <x v="1"/>
  </r>
  <r>
    <x v="1"/>
    <x v="1"/>
    <s v="06/06/2022"/>
    <s v="04/05/2022"/>
    <x v="6"/>
    <n v="8501"/>
    <s v="FC#21607 ARRIENDO DE ESPACIO AEROPUERTO G. LC:15-C"/>
    <m/>
    <n v="60.5"/>
    <n v="-60.5"/>
    <n v="-746.9"/>
    <x v="1"/>
  </r>
  <r>
    <x v="1"/>
    <x v="1"/>
    <s v="16/06/2022"/>
    <s v="16/05/2022"/>
    <x v="6"/>
    <n v="8502"/>
    <s v="FC#71598 TRASLADO BELL 505 HC-CVK AL HANGAR AEROMA"/>
    <m/>
    <n v="2.75"/>
    <n v="-2.75"/>
    <n v="-749.65"/>
    <x v="1"/>
  </r>
  <r>
    <x v="1"/>
    <x v="1"/>
    <s v="18/05/2022"/>
    <s v="18/05/2022"/>
    <x v="4"/>
    <n v="8613"/>
    <s v="FC#19347 HOTEL ORO VERDE HOSPEDAJE GUILLERMO RODAS"/>
    <m/>
    <n v="3.3"/>
    <n v="-3.3"/>
    <n v="-752.95"/>
    <x v="1"/>
  </r>
  <r>
    <x v="1"/>
    <x v="1"/>
    <s v="20/06/2022"/>
    <s v="19/05/2022"/>
    <x v="6"/>
    <n v="8610"/>
    <s v="FC#21815 VARIABLE MENSUAL POR CONCESIÓN MERCANTIL"/>
    <m/>
    <n v="11.94"/>
    <n v="-11.94"/>
    <n v="-764.89"/>
    <x v="1"/>
  </r>
  <r>
    <x v="1"/>
    <x v="1"/>
    <s v="19/05/2022"/>
    <s v="19/05/2022"/>
    <x v="4"/>
    <n v="8611"/>
    <s v="FC#19428 HOTEL ORO VERDE HOSPEDAJE GUILLERMO RODAS"/>
    <m/>
    <n v="1.65"/>
    <n v="-1.65"/>
    <n v="-766.54"/>
    <x v="1"/>
  </r>
  <r>
    <x v="1"/>
    <x v="1"/>
    <s v="19/05/2022"/>
    <s v="19/05/2022"/>
    <x v="4"/>
    <n v="8661"/>
    <s v="ND 25372192 PAGO RETENCIONES FUENTE ABRIL 2022 FOR"/>
    <n v="206.44"/>
    <m/>
    <n v="206.44"/>
    <n v="-560.1"/>
    <x v="2"/>
  </r>
  <r>
    <x v="1"/>
    <x v="1"/>
    <s v="20/05/2022"/>
    <s v="20/05/2022"/>
    <x v="4"/>
    <n v="8612"/>
    <s v="FC#19455 HOTEL ORO VERDE HOSPEDAJE GUILLERMO RODAS"/>
    <m/>
    <n v="1.65"/>
    <n v="-1.65"/>
    <n v="-561.75"/>
    <x v="1"/>
  </r>
  <r>
    <x v="1"/>
    <x v="1"/>
    <s v="20/05/2022"/>
    <s v="20/05/2022"/>
    <x v="4"/>
    <n v="8615"/>
    <s v="FC#19444 HOTEL ORO VERDE HOSPEDAJE DIEGO SERRANO 1"/>
    <m/>
    <n v="8.25"/>
    <n v="-8.25"/>
    <n v="-570"/>
    <x v="1"/>
  </r>
  <r>
    <x v="1"/>
    <x v="1"/>
    <s v="25/05/2022"/>
    <s v="25/05/2022"/>
    <x v="4"/>
    <n v="8614"/>
    <s v="FC#19560 HOTEL ORO VERDE HOSPEDAJE DIEGO SERRANO 2"/>
    <m/>
    <n v="3.3"/>
    <n v="-3.3"/>
    <n v="-573.29999999999995"/>
    <x v="1"/>
  </r>
  <r>
    <x v="1"/>
    <x v="1"/>
    <s v="31/05/2022"/>
    <s v="31/05/2022"/>
    <x v="4"/>
    <n v="8678"/>
    <s v="FC#301 ASIS Y MTTO HC-CVK. HC-CXH, HC-CTD, HC-CVX"/>
    <m/>
    <n v="28.88"/>
    <n v="-28.88"/>
    <n v="-602.17999999999995"/>
    <x v="1"/>
  </r>
  <r>
    <x v="1"/>
    <x v="1"/>
    <s v="01/06/2022"/>
    <s v="01/06/2022"/>
    <x v="6"/>
    <n v="8689"/>
    <s v="FC#19735 HOSPEDAJE 31 MAY/2022 DEL CASTILLO PAUL"/>
    <m/>
    <n v="1.69"/>
    <n v="-1.69"/>
    <n v="-603.87"/>
    <x v="1"/>
  </r>
  <r>
    <x v="1"/>
    <x v="1"/>
    <s v="01/06/2022"/>
    <s v="01/06/2022"/>
    <x v="6"/>
    <n v="8690"/>
    <s v="FC#19794 HOSPEDAJE 31 MAY/2022 RODAS GUILLERMO"/>
    <m/>
    <n v="1.65"/>
    <n v="-1.65"/>
    <n v="-605.52"/>
    <x v="1"/>
  </r>
  <r>
    <x v="1"/>
    <x v="1"/>
    <s v="01/06/2022"/>
    <s v="01/06/2022"/>
    <x v="6"/>
    <n v="8691"/>
    <s v="FC#19719 HOSPEDAJE 31 MAY/2022 SERRANO DIEGO"/>
    <m/>
    <n v="1.69"/>
    <n v="-1.69"/>
    <n v="-607.21"/>
    <x v="1"/>
  </r>
  <r>
    <x v="1"/>
    <x v="1"/>
    <s v="01/06/2022"/>
    <s v="01/06/2022"/>
    <x v="6"/>
    <n v="8753"/>
    <s v="FC#5882 GH &amp; PARKING MAYO 2022 ECUACENTAIR"/>
    <m/>
    <n v="70.13"/>
    <n v="-70.13"/>
    <n v="-677.34"/>
    <x v="1"/>
  </r>
  <r>
    <x v="1"/>
    <x v="1"/>
    <s v="02/06/2022"/>
    <s v="02/06/2022"/>
    <x v="6"/>
    <n v="8685"/>
    <s v="FC#5856 ATENCION VUEVLO 07/05/22 Y 31/05/2022  N24"/>
    <m/>
    <n v="19.829999999999998"/>
    <n v="-19.829999999999998"/>
    <n v="-697.17"/>
    <x v="1"/>
  </r>
  <r>
    <x v="1"/>
    <x v="1"/>
    <s v="02/06/2022"/>
    <s v="02/06/2022"/>
    <x v="6"/>
    <n v="8754"/>
    <s v="FC#5898 ATENCION VUELO 01/06/26 Y 02/06/2022  N245"/>
    <m/>
    <n v="13.22"/>
    <n v="-13.22"/>
    <n v="-710.39"/>
    <x v="1"/>
  </r>
  <r>
    <x v="1"/>
    <x v="1"/>
    <s v="06/06/2022"/>
    <s v="06/06/2022"/>
    <x v="6"/>
    <n v="8686"/>
    <s v="FC#284449 INTERNET DEDICADO 5MB- MADIR-AEROPUERTO-"/>
    <m/>
    <n v="2.06"/>
    <n v="-2.06"/>
    <n v="-712.45"/>
    <x v="1"/>
  </r>
  <r>
    <x v="1"/>
    <x v="1"/>
    <s v="06/07/2022"/>
    <s v="06/06/2022"/>
    <x v="7"/>
    <n v="8687"/>
    <s v="FC#21837 ARRIENDO DE ESPACIO AEROPUERTO G. LC:15-C"/>
    <m/>
    <n v="60.5"/>
    <n v="-60.5"/>
    <n v="-772.95"/>
    <x v="1"/>
  </r>
  <r>
    <x v="1"/>
    <x v="1"/>
    <s v="07/06/2022"/>
    <s v="07/06/2022"/>
    <x v="6"/>
    <n v="8700"/>
    <s v="FC#16 HOSPEDAJE 28/05/22 SR.MARCO FARFAN"/>
    <m/>
    <n v="1.1000000000000001"/>
    <n v="-1.1000000000000001"/>
    <n v="-774.05"/>
    <x v="1"/>
  </r>
  <r>
    <x v="1"/>
    <x v="1"/>
    <s v="18/07/2022"/>
    <s v="17/06/2022"/>
    <x v="7"/>
    <n v="8751"/>
    <s v="FC#22068 VARIABLE MENSUAL POR CONCESIÓN MERCANTIL"/>
    <m/>
    <n v="12.35"/>
    <n v="-12.35"/>
    <n v="-786.4"/>
    <x v="1"/>
  </r>
  <r>
    <x v="1"/>
    <x v="1"/>
    <s v="21/06/2022"/>
    <s v="21/06/2022"/>
    <x v="6"/>
    <n v="8886"/>
    <s v="ND PAGO RETENCIONES FUENTE MAYO SRI FORM 103"/>
    <n v="602.16"/>
    <m/>
    <n v="602.16"/>
    <n v="-184.24"/>
    <x v="2"/>
  </r>
  <r>
    <x v="1"/>
    <x v="1"/>
    <s v="30/06/2022"/>
    <s v="30/06/2022"/>
    <x v="6"/>
    <n v="8773"/>
    <s v="FC#303 ASIS Y MTTO HC-CVK. HC-CXH, HC-CTD, HC-CVX"/>
    <m/>
    <n v="44.28"/>
    <n v="-44.28"/>
    <n v="-228.52"/>
    <x v="1"/>
  </r>
  <r>
    <x v="1"/>
    <x v="1"/>
    <s v="01/07/2022"/>
    <s v="01/07/2022"/>
    <x v="7"/>
    <n v="8794"/>
    <s v="FC#286625 INTERNET DEDICADO 5MB- MADIR-AEROPUERTO-"/>
    <m/>
    <n v="2.06"/>
    <n v="-2.06"/>
    <n v="-230.58"/>
    <x v="1"/>
  </r>
  <r>
    <x v="1"/>
    <x v="1"/>
    <s v="01/07/2022"/>
    <s v="01/07/2022"/>
    <x v="7"/>
    <n v="8816"/>
    <s v="FC#532 ATENCION VUELO 27/12/2021 N751SJ ECUACENTAI"/>
    <m/>
    <n v="17.18"/>
    <n v="-17.18"/>
    <n v="-247.76"/>
    <x v="1"/>
  </r>
  <r>
    <x v="1"/>
    <x v="1"/>
    <s v="01/07/2022"/>
    <s v="01/07/2022"/>
    <x v="7"/>
    <n v="8817"/>
    <s v="FC#4951 PARKING HANGAR HCCVK  10 Y 11 DICIEMBRE EC"/>
    <m/>
    <n v="1.65"/>
    <n v="-1.65"/>
    <n v="-249.41"/>
    <x v="1"/>
  </r>
  <r>
    <x v="1"/>
    <x v="1"/>
    <s v="01/07/2022"/>
    <s v="01/07/2022"/>
    <x v="7"/>
    <n v="8818"/>
    <s v="FC#4953 ATENCION VUEVLO 26/12/21  N245FH ECUACENTA"/>
    <m/>
    <n v="47.16"/>
    <n v="-47.16"/>
    <n v="-296.57"/>
    <x v="1"/>
  </r>
  <r>
    <x v="1"/>
    <x v="1"/>
    <s v="01/07/2022"/>
    <s v="01/07/2022"/>
    <x v="7"/>
    <n v="8819"/>
    <s v="FC#4955 ATENCION VUELO DEL 26/12/21 AL 27/12/21 N7"/>
    <m/>
    <n v="25.66"/>
    <n v="-25.66"/>
    <n v="-322.23"/>
    <x v="1"/>
  </r>
  <r>
    <x v="1"/>
    <x v="1"/>
    <s v="01/07/2022"/>
    <s v="01/07/2022"/>
    <x v="7"/>
    <n v="8820"/>
    <s v="FC#4978 ATENCION VUELO 02/01/22 AL 03/01/22 N751SJ"/>
    <m/>
    <n v="47.3"/>
    <n v="-47.3"/>
    <n v="-369.53"/>
    <x v="1"/>
  </r>
  <r>
    <x v="1"/>
    <x v="1"/>
    <s v="01/07/2022"/>
    <s v="01/07/2022"/>
    <x v="7"/>
    <n v="8821"/>
    <s v="FC#4993 ATENCION VUELO 05/01/2022 N751SJ ECUACENTA"/>
    <m/>
    <n v="67.41"/>
    <n v="-67.41"/>
    <n v="-436.94"/>
    <x v="1"/>
  </r>
  <r>
    <x v="1"/>
    <x v="1"/>
    <s v="01/07/2022"/>
    <s v="01/07/2022"/>
    <x v="7"/>
    <n v="8822"/>
    <s v="FC#532 ATENCION VUELO 15/11/21-10/12/21-02/01/22 H"/>
    <m/>
    <n v="14.82"/>
    <n v="-14.82"/>
    <n v="-451.76"/>
    <x v="1"/>
  </r>
  <r>
    <x v="1"/>
    <x v="1"/>
    <s v="01/07/2022"/>
    <s v="01/07/2022"/>
    <x v="7"/>
    <n v="8823"/>
    <s v="FC#53 ALCANCE FC#32 ATENCION VUELO 27/12/2021 N751"/>
    <m/>
    <n v="0.55000000000000004"/>
    <n v="-0.55000000000000004"/>
    <n v="-452.31"/>
    <x v="1"/>
  </r>
  <r>
    <x v="1"/>
    <x v="1"/>
    <s v="01/07/2022"/>
    <s v="01/07/2022"/>
    <x v="7"/>
    <n v="8824"/>
    <s v="FC#54 ATENCION VUELO 14/02/2022 - 16/02/2022 N245F"/>
    <m/>
    <n v="10.62"/>
    <n v="-10.62"/>
    <n v="-462.93"/>
    <x v="1"/>
  </r>
  <r>
    <x v="1"/>
    <x v="1"/>
    <s v="01/07/2022"/>
    <s v="01/07/2022"/>
    <x v="7"/>
    <n v="8825"/>
    <s v="FC#63 ATENCION VUELO 25/02/2022 N245FH ECUACENTAIR"/>
    <m/>
    <n v="15.63"/>
    <n v="-15.63"/>
    <n v="-478.56"/>
    <x v="1"/>
  </r>
  <r>
    <x v="1"/>
    <x v="1"/>
    <s v="01/07/2022"/>
    <s v="01/07/2022"/>
    <x v="7"/>
    <n v="8826"/>
    <s v="FC#5264 ATENCION VUELO 18/02/2022 - 20/02/2022 HCC"/>
    <m/>
    <n v="5.2"/>
    <n v="-5.2"/>
    <n v="-483.76"/>
    <x v="1"/>
  </r>
  <r>
    <x v="1"/>
    <x v="1"/>
    <s v="01/07/2022"/>
    <s v="01/07/2022"/>
    <x v="7"/>
    <n v="8827"/>
    <s v="FC#5265 ATENCION VUELO 20/02/2022 - 21/02/2022 HCC"/>
    <m/>
    <n v="4.59"/>
    <n v="-4.59"/>
    <n v="-488.35"/>
    <x v="1"/>
  </r>
  <r>
    <x v="1"/>
    <x v="1"/>
    <s v="01/07/2022"/>
    <s v="01/07/2022"/>
    <x v="7"/>
    <n v="8828"/>
    <s v="FC#5303 PARKING HANGAR FBO FEBRERO ECUACENTAIR"/>
    <m/>
    <n v="4.95"/>
    <n v="-4.95"/>
    <n v="-493.3"/>
    <x v="1"/>
  </r>
  <r>
    <x v="1"/>
    <x v="1"/>
    <s v="01/07/2022"/>
    <s v="01/07/2022"/>
    <x v="7"/>
    <n v="8829"/>
    <s v="FC#82 ATENCION VUELO 27/03/2022 - 28/03/2022 N245F"/>
    <m/>
    <n v="9.8800000000000008"/>
    <n v="-9.8800000000000008"/>
    <n v="-503.18"/>
    <x v="1"/>
  </r>
  <r>
    <x v="1"/>
    <x v="1"/>
    <s v="01/07/2022"/>
    <s v="01/07/2022"/>
    <x v="7"/>
    <n v="8830"/>
    <s v="FC#90 ATENCION VUELO 12/04/2022 - 13/04/2022 N245F"/>
    <m/>
    <n v="10.32"/>
    <n v="-10.32"/>
    <n v="-513.5"/>
    <x v="1"/>
  </r>
  <r>
    <x v="1"/>
    <x v="1"/>
    <s v="01/07/2022"/>
    <s v="01/07/2022"/>
    <x v="7"/>
    <n v="8831"/>
    <s v="FC#108 ATENCION VUELO 31/05/2022 - 01/06/2022 N245"/>
    <m/>
    <n v="10.3"/>
    <n v="-10.3"/>
    <n v="-523.79999999999995"/>
    <x v="1"/>
  </r>
  <r>
    <x v="1"/>
    <x v="1"/>
    <s v="01/07/2022"/>
    <s v="01/07/2022"/>
    <x v="7"/>
    <n v="8832"/>
    <s v="FC#5871 DESPACHO 18/08/22 Y 31/05/22 HCCVK"/>
    <m/>
    <n v="5.78"/>
    <n v="-5.78"/>
    <n v="-529.58000000000004"/>
    <x v="1"/>
  </r>
  <r>
    <x v="1"/>
    <x v="1"/>
    <s v="01/07/2022"/>
    <s v="01/07/2022"/>
    <x v="7"/>
    <n v="8833"/>
    <s v="FC#5987 ATENCION VUELO 12/06/2022 - 17/06/2022 N24"/>
    <m/>
    <n v="15.66"/>
    <n v="-15.66"/>
    <n v="-545.24"/>
    <x v="1"/>
  </r>
  <r>
    <x v="1"/>
    <x v="1"/>
    <s v="01/07/2022"/>
    <s v="01/07/2022"/>
    <x v="7"/>
    <n v="8834"/>
    <s v="FC#5871 DESPACHO 01/06/22 HCCVK"/>
    <m/>
    <n v="3.85"/>
    <n v="-3.85"/>
    <n v="-549.09"/>
    <x v="1"/>
  </r>
  <r>
    <x v="1"/>
    <x v="1"/>
    <s v="01/07/2022"/>
    <s v="01/07/2022"/>
    <x v="7"/>
    <n v="8835"/>
    <s v="FC#6188 GH &amp; PARKING JUNIO 2022 ECUACENTAIR"/>
    <m/>
    <n v="70.13"/>
    <n v="-70.13"/>
    <n v="-619.22"/>
    <x v="1"/>
  </r>
  <r>
    <x v="1"/>
    <x v="1"/>
    <s v="01/07/2022"/>
    <s v="01/07/2022"/>
    <x v="7"/>
    <n v="9014"/>
    <s v="Factura de proveedores - Cancelación - PN179243166"/>
    <m/>
    <n v="-10.32"/>
    <n v="10.32"/>
    <n v="-608.9"/>
    <x v="1"/>
  </r>
  <r>
    <x v="1"/>
    <x v="1"/>
    <s v="01/07/2022"/>
    <s v="01/07/2022"/>
    <x v="7"/>
    <n v="9015"/>
    <s v="Factura de proveedores - Cancelación - PN179243166"/>
    <m/>
    <n v="-15.63"/>
    <n v="15.63"/>
    <n v="-593.27"/>
    <x v="1"/>
  </r>
  <r>
    <x v="1"/>
    <x v="1"/>
    <s v="01/07/2022"/>
    <s v="01/07/2022"/>
    <x v="7"/>
    <n v="9016"/>
    <s v="Factura de proveedores - Cancelación - PN179243166"/>
    <m/>
    <n v="-9.8800000000000008"/>
    <n v="9.8800000000000008"/>
    <n v="-583.39"/>
    <x v="1"/>
  </r>
  <r>
    <x v="1"/>
    <x v="1"/>
    <s v="01/07/2022"/>
    <s v="01/07/2022"/>
    <x v="7"/>
    <n v="9017"/>
    <s v="FC#82 ATENCION VUELO 27/03/2022 - 28/03/2022 N245F"/>
    <m/>
    <n v="9.8800000000000008"/>
    <n v="-9.8800000000000008"/>
    <n v="-593.27"/>
    <x v="1"/>
  </r>
  <r>
    <x v="1"/>
    <x v="1"/>
    <s v="01/07/2022"/>
    <s v="01/07/2022"/>
    <x v="7"/>
    <n v="9018"/>
    <s v="FC#90 ATENCION VUELO 12/04/2022 - 13/04/2022 N245F"/>
    <m/>
    <n v="10.32"/>
    <n v="-10.32"/>
    <n v="-603.59"/>
    <x v="1"/>
  </r>
  <r>
    <x v="1"/>
    <x v="1"/>
    <s v="01/07/2022"/>
    <s v="01/07/2022"/>
    <x v="7"/>
    <n v="9019"/>
    <s v="FC#63 ATENCION VUELO 25/02/2022 N245FH ECUACENTAIR"/>
    <m/>
    <n v="15.63"/>
    <n v="-15.63"/>
    <n v="-619.22"/>
    <x v="1"/>
  </r>
  <r>
    <x v="1"/>
    <x v="1"/>
    <s v="01/07/2022"/>
    <s v="01/07/2022"/>
    <x v="7"/>
    <n v="9020"/>
    <s v="Factura de proveedores - Cancelación - PN179243166"/>
    <m/>
    <n v="-15.63"/>
    <n v="15.63"/>
    <n v="-603.59"/>
    <x v="1"/>
  </r>
  <r>
    <x v="1"/>
    <x v="1"/>
    <s v="01/07/2022"/>
    <s v="01/07/2022"/>
    <x v="7"/>
    <n v="9021"/>
    <s v="FC#63 ATENCION VUELO 25/02/2022 N245FH ECUACENTAIR"/>
    <m/>
    <n v="15.63"/>
    <n v="-15.63"/>
    <n v="-619.22"/>
    <x v="1"/>
  </r>
  <r>
    <x v="1"/>
    <x v="1"/>
    <s v="01/07/2022"/>
    <s v="01/07/2022"/>
    <x v="7"/>
    <n v="9022"/>
    <s v="Factura de proveedores - Cancelación - PN179243166"/>
    <m/>
    <n v="-9.8800000000000008"/>
    <n v="9.8800000000000008"/>
    <n v="-609.34"/>
    <x v="1"/>
  </r>
  <r>
    <x v="1"/>
    <x v="1"/>
    <s v="01/07/2022"/>
    <s v="01/07/2022"/>
    <x v="7"/>
    <n v="9023"/>
    <s v="FC#82 ATENCION VUELO 27/03/2022 - 28/03/2022 N245F"/>
    <m/>
    <n v="9.8800000000000008"/>
    <n v="-9.8800000000000008"/>
    <n v="-619.22"/>
    <x v="1"/>
  </r>
  <r>
    <x v="1"/>
    <x v="1"/>
    <s v="01/07/2022"/>
    <s v="01/07/2022"/>
    <x v="7"/>
    <n v="9024"/>
    <s v="Factura de proveedores - Cancelación - PN179243166"/>
    <m/>
    <n v="-10.32"/>
    <n v="10.32"/>
    <n v="-608.9"/>
    <x v="1"/>
  </r>
  <r>
    <x v="1"/>
    <x v="1"/>
    <s v="01/07/2022"/>
    <s v="01/07/2022"/>
    <x v="7"/>
    <n v="9025"/>
    <s v="FC#90 ATENCION VUELO 12/04/2022 - 13/04/2022 N245F"/>
    <m/>
    <n v="10.32"/>
    <n v="-10.32"/>
    <n v="-619.22"/>
    <x v="1"/>
  </r>
  <r>
    <x v="1"/>
    <x v="1"/>
    <s v="04/08/2022"/>
    <s v="04/07/2022"/>
    <x v="8"/>
    <n v="8815"/>
    <s v="FC#22085 ARRIENDO DE ESPACIO AEROPUERTO G. LC:15-C"/>
    <m/>
    <n v="60.5"/>
    <n v="-60.5"/>
    <n v="-679.72"/>
    <x v="1"/>
  </r>
  <r>
    <x v="1"/>
    <x v="1"/>
    <s v="06/07/2022"/>
    <s v="06/07/2022"/>
    <x v="7"/>
    <n v="8968"/>
    <s v="FC#803942 TRAMITE COURIER IMPORTACION FILTROS"/>
    <m/>
    <n v="4"/>
    <n v="-4"/>
    <n v="-683.72"/>
    <x v="1"/>
  </r>
  <r>
    <x v="1"/>
    <x v="1"/>
    <s v="07/07/2022"/>
    <s v="07/07/2022"/>
    <x v="7"/>
    <n v="8868"/>
    <s v="FC#20820 HOSPEDAJE 05 JUL 2022 SERRANO DIEGO"/>
    <m/>
    <n v="3.3"/>
    <n v="-3.3"/>
    <n v="-687.02"/>
    <x v="1"/>
  </r>
  <r>
    <x v="1"/>
    <x v="1"/>
    <s v="11/07/2022"/>
    <s v="09/07/2022"/>
    <x v="7"/>
    <n v="8806"/>
    <s v="FC#20908 HOSPEDAJE ORO VERDE DEL 04/07 AL 09/07 RO"/>
    <m/>
    <n v="8.25"/>
    <n v="-8.25"/>
    <n v="-695.27"/>
    <x v="1"/>
  </r>
  <r>
    <x v="1"/>
    <x v="1"/>
    <s v="11/08/2022"/>
    <s v="11/07/2022"/>
    <x v="8"/>
    <n v="8804"/>
    <s v="FC#22288 VARIABLE MENSUAL POR CONCESIÓN MERCANTIL"/>
    <m/>
    <n v="12.9"/>
    <n v="-12.9"/>
    <n v="-708.17"/>
    <x v="1"/>
  </r>
  <r>
    <x v="1"/>
    <x v="1"/>
    <s v="19/07/2022"/>
    <s v="19/07/2022"/>
    <x v="7"/>
    <n v="8956"/>
    <s v="ND PAGO RETEN FTE JUNIO 2022 FORM 103 SRI"/>
    <n v="32"/>
    <m/>
    <n v="32"/>
    <n v="-676.17"/>
    <x v="3"/>
  </r>
  <r>
    <x v="1"/>
    <x v="1"/>
    <s v="19/07/2022"/>
    <s v="19/07/2022"/>
    <x v="7"/>
    <n v="8986"/>
    <s v="ND PAGO RETEN FTE JUNIO 2022 FORM 103 SRI(Anulació"/>
    <n v="-32"/>
    <m/>
    <n v="-32"/>
    <n v="-708.17"/>
    <x v="3"/>
  </r>
  <r>
    <x v="1"/>
    <x v="1"/>
    <s v="19/07/2022"/>
    <s v="19/07/2022"/>
    <x v="7"/>
    <n v="8987"/>
    <s v="ND PAGO RETEN FTE JUNIO 2022 FORM 103 SRI"/>
    <n v="228.52"/>
    <m/>
    <n v="228.52"/>
    <n v="-479.65"/>
    <x v="2"/>
  </r>
  <r>
    <x v="1"/>
    <x v="1"/>
    <s v="21/07/2022"/>
    <s v="21/07/2022"/>
    <x v="7"/>
    <n v="8836"/>
    <s v="FC#6286 GH &amp; PARKING FEBRERO 2022 N585T ECUACENTAI"/>
    <m/>
    <n v="75.63"/>
    <n v="-75.63"/>
    <n v="-555.28"/>
    <x v="1"/>
  </r>
  <r>
    <x v="1"/>
    <x v="1"/>
    <s v="21/07/2022"/>
    <s v="21/07/2022"/>
    <x v="7"/>
    <n v="8837"/>
    <s v="FC#6287 ATENCION VUELO 29 AGO - 01 SEP N245FH ECUA"/>
    <m/>
    <n v="0.98"/>
    <n v="-0.98"/>
    <n v="-556.26"/>
    <x v="1"/>
  </r>
  <r>
    <x v="1"/>
    <x v="1"/>
    <s v="21/07/2022"/>
    <s v="21/07/2022"/>
    <x v="7"/>
    <n v="8838"/>
    <s v="FC#6288 ATENCION VUELO 28 SEP - 08 OCT N245FH ECUA"/>
    <m/>
    <n v="15.37"/>
    <n v="-15.37"/>
    <n v="-571.63"/>
    <x v="1"/>
  </r>
  <r>
    <x v="1"/>
    <x v="1"/>
    <s v="21/07/2022"/>
    <s v="21/07/2022"/>
    <x v="7"/>
    <n v="8839"/>
    <s v="FC#6289 ATENCION VUELO 11/10/21 - 13/10/21 N245FH"/>
    <m/>
    <n v="6.88"/>
    <n v="-6.88"/>
    <n v="-578.51"/>
    <x v="1"/>
  </r>
  <r>
    <x v="1"/>
    <x v="1"/>
    <s v="21/07/2022"/>
    <s v="21/07/2022"/>
    <x v="7"/>
    <n v="8840"/>
    <s v="FC#6290 ATENCION VUELO 14/10/21 - 21/10/21 N245FH"/>
    <m/>
    <n v="5.46"/>
    <n v="-5.46"/>
    <n v="-583.97"/>
    <x v="1"/>
  </r>
  <r>
    <x v="1"/>
    <x v="1"/>
    <s v="21/07/2022"/>
    <s v="21/07/2022"/>
    <x v="7"/>
    <n v="8841"/>
    <s v="FC#6294 PARKING HANGAR FBO NOVIEMBRE HCCVK ECUACEN"/>
    <m/>
    <n v="19.8"/>
    <n v="-19.8"/>
    <n v="-603.77"/>
    <x v="1"/>
  </r>
  <r>
    <x v="1"/>
    <x v="1"/>
    <s v="21/07/2022"/>
    <s v="21/07/2022"/>
    <x v="7"/>
    <n v="8842"/>
    <s v="FC#6295 PARKING HANGAR HCCVK  01 AL 08 DICIEMBRE E"/>
    <m/>
    <n v="13.2"/>
    <n v="-13.2"/>
    <n v="-616.97"/>
    <x v="1"/>
  </r>
  <r>
    <x v="1"/>
    <x v="1"/>
    <s v="21/07/2022"/>
    <s v="21/07/2022"/>
    <x v="7"/>
    <n v="8843"/>
    <s v="FC#120 ATENCION VUELO 13/10/2021 - 14/10/2021 N245"/>
    <m/>
    <n v="10.18"/>
    <n v="-10.18"/>
    <n v="-627.15"/>
    <x v="1"/>
  </r>
  <r>
    <x v="1"/>
    <x v="1"/>
    <s v="21/07/2022"/>
    <s v="21/07/2022"/>
    <x v="7"/>
    <n v="8844"/>
    <s v="FC#121 ATENCION VUELO 21/10/2021  N245FH ECUACENTA"/>
    <m/>
    <n v="21.17"/>
    <n v="-21.17"/>
    <n v="-648.32000000000005"/>
    <x v="1"/>
  </r>
  <r>
    <x v="1"/>
    <x v="1"/>
    <s v="21/07/2022"/>
    <s v="21/07/2022"/>
    <x v="7"/>
    <n v="8845"/>
    <s v="FC#122 ATENCION VUELO 29/10/2021 N245FH ECUACENTAI"/>
    <m/>
    <n v="15.79"/>
    <n v="-15.79"/>
    <n v="-664.11"/>
    <x v="1"/>
  </r>
  <r>
    <x v="1"/>
    <x v="1"/>
    <s v="21/07/2022"/>
    <s v="21/07/2022"/>
    <x v="7"/>
    <n v="8974"/>
    <s v="Factura de proveedores - Cancelación - PN179243166"/>
    <m/>
    <n v="-15.79"/>
    <n v="15.79"/>
    <n v="-648.32000000000005"/>
    <x v="1"/>
  </r>
  <r>
    <x v="1"/>
    <x v="1"/>
    <s v="26/07/2022"/>
    <s v="26/07/2022"/>
    <x v="7"/>
    <n v="8796"/>
    <s v="FC#2165 CHEQUEO HELICOPTERO HC-CVK, PRUEBA ALTIMET"/>
    <m/>
    <n v="15.65"/>
    <n v="-15.65"/>
    <n v="-663.97"/>
    <x v="1"/>
  </r>
  <r>
    <x v="1"/>
    <x v="1"/>
    <s v="26/07/2022"/>
    <s v="26/07/2022"/>
    <x v="7"/>
    <n v="8797"/>
    <s v="Factura de proveedores - Cancelación - PN176801433"/>
    <m/>
    <n v="-15.65"/>
    <n v="15.65"/>
    <n v="-648.32000000000005"/>
    <x v="1"/>
  </r>
  <r>
    <x v="1"/>
    <x v="1"/>
    <s v="01/08/2022"/>
    <s v="30/07/2022"/>
    <x v="8"/>
    <n v="8938"/>
    <s v="FC#305 LIMP Y MTTO HC-CVK. HC-CXH, HC-CTD"/>
    <m/>
    <n v="36.58"/>
    <n v="-36.58"/>
    <n v="-684.9"/>
    <x v="1"/>
  </r>
  <r>
    <x v="1"/>
    <x v="1"/>
    <s v="01/08/2022"/>
    <s v="01/08/2022"/>
    <x v="8"/>
    <n v="9012"/>
    <s v="FC#289596 INTERNET DEDICADO 5MB- MADIR-AEROPUERTO-"/>
    <m/>
    <n v="2.06"/>
    <n v="-2.06"/>
    <n v="-686.96"/>
    <x v="1"/>
  </r>
  <r>
    <x v="1"/>
    <x v="1"/>
    <s v="01/08/2022"/>
    <s v="01/08/2022"/>
    <x v="8"/>
    <n v="9029"/>
    <s v="FC#6337 ATENCION VUELO 24/07/2022 - 29/07/2022 N24"/>
    <m/>
    <n v="16.41"/>
    <n v="-16.41"/>
    <n v="-703.37"/>
    <x v="1"/>
  </r>
  <r>
    <x v="1"/>
    <x v="1"/>
    <s v="05/09/2022"/>
    <s v="03/08/2022"/>
    <x v="9"/>
    <n v="9011"/>
    <s v="FC#22350 ARRIENDO DE ESPACIO AEROPUERTO G. LC:15-C"/>
    <m/>
    <n v="60.5"/>
    <n v="-60.5"/>
    <n v="-763.87"/>
    <x v="1"/>
  </r>
  <r>
    <x v="1"/>
    <x v="1"/>
    <s v="03/08/2022"/>
    <s v="03/08/2022"/>
    <x v="8"/>
    <n v="9030"/>
    <s v="FC#6389 ATENCION VUELO 03/08/2022 N245FH ECUACENTA"/>
    <m/>
    <n v="2.12"/>
    <n v="-2.12"/>
    <n v="-765.99"/>
    <x v="1"/>
  </r>
  <r>
    <x v="1"/>
    <x v="1"/>
    <s v="03/08/2022"/>
    <s v="03/08/2022"/>
    <x v="8"/>
    <n v="9031"/>
    <s v="FC#6383 ATENCION VUELO 02/08/2022 - 03/08/2022 N24"/>
    <m/>
    <n v="7.97"/>
    <n v="-7.97"/>
    <n v="-773.96"/>
    <x v="1"/>
  </r>
  <r>
    <x v="1"/>
    <x v="1"/>
    <s v="08/08/2022"/>
    <s v="08/08/2022"/>
    <x v="8"/>
    <n v="9144"/>
    <s v="FC#33 HOSPEDAJE DEL 21 AL 24 JUL/2022 SR.MARCO FAR"/>
    <m/>
    <n v="4.13"/>
    <n v="-4.13"/>
    <n v="-778.09"/>
    <x v="1"/>
  </r>
  <r>
    <x v="1"/>
    <x v="1"/>
    <s v="09/08/2022"/>
    <s v="09/08/2022"/>
    <x v="8"/>
    <n v="9101"/>
    <s v="FC#6426 ATENCION VUELO 03/08/2022 - 09/08/2022 N24"/>
    <m/>
    <n v="13.85"/>
    <n v="-13.85"/>
    <n v="-791.94"/>
    <x v="1"/>
  </r>
  <r>
    <x v="1"/>
    <x v="1"/>
    <s v="19/09/2022"/>
    <s v="18/08/2022"/>
    <x v="9"/>
    <n v="9010"/>
    <s v="FC#22583 VARIABLE MENSUAL POR CONCESIÓN MERCANTIL"/>
    <m/>
    <n v="17.16"/>
    <n v="-17.16"/>
    <n v="-809.1"/>
    <x v="1"/>
  </r>
  <r>
    <x v="1"/>
    <x v="1"/>
    <s v="18/08/2022"/>
    <s v="18/08/2022"/>
    <x v="8"/>
    <n v="9028"/>
    <s v="FC#22413 HOSPEDAJE ORO VERDE 17/08/2022 CARVAJAL S"/>
    <m/>
    <n v="1.65"/>
    <n v="-1.65"/>
    <n v="-810.75"/>
    <x v="1"/>
  </r>
  <r>
    <x v="1"/>
    <x v="1"/>
    <s v="19/08/2022"/>
    <s v="19/08/2022"/>
    <x v="8"/>
    <n v="9102"/>
    <s v="FC#22451 HOSPEDAJE 18 AGO 2022 SERRANO DIEGO"/>
    <m/>
    <n v="1.69"/>
    <n v="-1.69"/>
    <n v="-812.44"/>
    <x v="1"/>
  </r>
  <r>
    <x v="1"/>
    <x v="1"/>
    <s v="19/08/2022"/>
    <s v="19/08/2022"/>
    <x v="8"/>
    <n v="9103"/>
    <s v="FC#22492 HOSPEDAJE 18 AGO 2022 BENAVIDES XIMENA"/>
    <m/>
    <n v="1.65"/>
    <n v="-1.65"/>
    <n v="-814.09"/>
    <x v="1"/>
  </r>
  <r>
    <x v="1"/>
    <x v="1"/>
    <s v="19/08/2022"/>
    <s v="19/08/2022"/>
    <x v="8"/>
    <n v="9152"/>
    <s v="ND PAGO RETENCIONES FUENTE JULIO 2022 SRI FORM 103"/>
    <n v="684.9"/>
    <m/>
    <n v="684.9"/>
    <n v="-129.19"/>
    <x v="2"/>
  </r>
  <r>
    <x v="1"/>
    <x v="1"/>
    <s v="01/09/2022"/>
    <s v="01/09/2022"/>
    <x v="9"/>
    <n v="9174"/>
    <s v="FC#292595 INTERNET DEDICADO 5MB- MADIR-AEROPUERTO-"/>
    <m/>
    <n v="2.06"/>
    <n v="-2.06"/>
    <n v="-131.25"/>
    <x v="1"/>
  </r>
  <r>
    <x v="1"/>
    <x v="1"/>
    <s v="05/10/2022"/>
    <s v="05/09/2022"/>
    <x v="10"/>
    <n v="9175"/>
    <s v="FC#22738 ARRIENDO DE ESPACIO AEROPUERTO G. LC:15-C"/>
    <m/>
    <n v="60.5"/>
    <n v="-60.5"/>
    <n v="-191.75"/>
    <x v="1"/>
  </r>
  <r>
    <x v="1"/>
    <x v="1"/>
    <s v="06/09/2022"/>
    <s v="06/09/2022"/>
    <x v="9"/>
    <n v="9265"/>
    <s v="FC#6587 ATENCION VUELO 28/08/2022 - 06/09/2022 N24"/>
    <m/>
    <n v="8.17"/>
    <n v="-8.17"/>
    <n v="-199.92"/>
    <x v="1"/>
  </r>
  <r>
    <x v="1"/>
    <x v="1"/>
    <s v="07/09/2022"/>
    <s v="07/09/2022"/>
    <x v="9"/>
    <n v="9179"/>
    <s v="FC#23216 HOSPEDAJE 05-06 SEP 2022 BENAVIDES XIMENA"/>
    <m/>
    <n v="3.3"/>
    <n v="-3.3"/>
    <n v="-203.22"/>
    <x v="1"/>
  </r>
  <r>
    <x v="1"/>
    <x v="1"/>
    <s v="08/09/2022"/>
    <s v="08/09/2022"/>
    <x v="9"/>
    <n v="9180"/>
    <s v="FC#23256 HOSPEDAJE 05-06-07 SEP 2022 SERRANO DIEGO"/>
    <m/>
    <n v="4.95"/>
    <n v="-4.95"/>
    <n v="-208.17"/>
    <x v="1"/>
  </r>
  <r>
    <x v="1"/>
    <x v="1"/>
    <s v="08/09/2022"/>
    <s v="08/09/2022"/>
    <x v="9"/>
    <n v="9181"/>
    <s v="FC#23260 HOSPEDAJE 06-07 SEP 2022 RODAS GUILLERMO"/>
    <m/>
    <n v="3.3"/>
    <n v="-3.3"/>
    <n v="-211.47"/>
    <x v="1"/>
  </r>
  <r>
    <x v="1"/>
    <x v="1"/>
    <s v="08/09/2022"/>
    <s v="08/09/2022"/>
    <x v="9"/>
    <n v="9182"/>
    <s v="FC#23270 HOSPEDAJE 06-07 SEP 2022 DEL CASTILLO PAU"/>
    <m/>
    <n v="3.3"/>
    <n v="-3.3"/>
    <n v="-214.77"/>
    <x v="1"/>
  </r>
  <r>
    <x v="1"/>
    <x v="1"/>
    <s v="15/09/2022"/>
    <s v="15/09/2022"/>
    <x v="9"/>
    <n v="9260"/>
    <s v="FC#3945 HON. PROF. LOCALES JUL-2022 PROFORMA 22469"/>
    <m/>
    <n v="1.74"/>
    <n v="-1.74"/>
    <n v="-216.51"/>
    <x v="1"/>
  </r>
  <r>
    <x v="1"/>
    <x v="1"/>
    <s v="20/09/2022"/>
    <s v="20/09/2022"/>
    <x v="9"/>
    <n v="9284"/>
    <s v="ND 29962985 PAGO RETEN FTE AGOSTO 2022 SRI FORM 10"/>
    <n v="129.19"/>
    <m/>
    <n v="129.19"/>
    <n v="-87.32"/>
    <x v="2"/>
  </r>
  <r>
    <x v="1"/>
    <x v="1"/>
    <s v="22/09/2022"/>
    <s v="22/09/2022"/>
    <x v="9"/>
    <n v="9264"/>
    <s v="FC#704 ATENCION VUELO 08/09/2022 - 22/09/2022 N245"/>
    <m/>
    <n v="8.0399999999999991"/>
    <n v="-8.0399999999999991"/>
    <n v="-95.36"/>
    <x v="1"/>
  </r>
  <r>
    <x v="1"/>
    <x v="1"/>
    <s v="31/10/2022"/>
    <s v="29/09/2022"/>
    <x v="10"/>
    <n v="9271"/>
    <s v="FC#22864 VARIABLE MENSUAL POR CONCESIÓN MERCANTIL"/>
    <m/>
    <n v="17.16"/>
    <n v="-17.16"/>
    <n v="-112.52"/>
    <x v="1"/>
  </r>
  <r>
    <x v="1"/>
    <x v="1"/>
    <s v="03/10/2022"/>
    <s v="03/10/2022"/>
    <x v="10"/>
    <n v="9296"/>
    <s v="FC#295815 INTERNET DEDICADO 5MB- MADIR-AEROPUERTO-"/>
    <m/>
    <n v="2.06"/>
    <n v="-2.06"/>
    <n v="-114.58"/>
    <x v="1"/>
  </r>
  <r>
    <x v="1"/>
    <x v="1"/>
    <s v="07/11/2022"/>
    <s v="05/10/2022"/>
    <x v="11"/>
    <n v="9372"/>
    <s v="FC#22893 ARRIENDO DE ESPACIO AEROPUERTO G. LC:15-C"/>
    <m/>
    <n v="60.5"/>
    <n v="-60.5"/>
    <n v="-175.08"/>
    <x v="1"/>
  </r>
  <r>
    <x v="1"/>
    <x v="1"/>
    <s v="19/10/2022"/>
    <s v="19/10/2022"/>
    <x v="10"/>
    <n v="9424"/>
    <s v="ND 30480126 PAGO RETEN FUENTE SEP 2022 SRI FORM 10"/>
    <n v="112.52"/>
    <m/>
    <n v="112.52"/>
    <n v="-62.56"/>
    <x v="2"/>
  </r>
  <r>
    <x v="1"/>
    <x v="1"/>
    <s v="21/11/2022"/>
    <s v="20/10/2022"/>
    <x v="11"/>
    <n v="9363"/>
    <s v="FC#23103 VARIABLE MENSUAL POR CONCESIÓN MERCANTIL"/>
    <m/>
    <n v="17.16"/>
    <n v="-17.16"/>
    <n v="-79.72"/>
    <x v="1"/>
  </r>
  <r>
    <x v="1"/>
    <x v="1"/>
    <s v="01/11/2022"/>
    <s v="01/11/2022"/>
    <x v="11"/>
    <n v="9434"/>
    <s v="FC#298735 INTERNET DEDICADO 5MB- MADIR-AEROPUERTO-"/>
    <m/>
    <n v="2.06"/>
    <n v="-2.06"/>
    <n v="-81.78"/>
    <x v="1"/>
  </r>
  <r>
    <x v="1"/>
    <x v="1"/>
    <s v="01/11/2022"/>
    <s v="01/11/2022"/>
    <x v="11"/>
    <n v="9435"/>
    <s v="FC#25048 HOSPEDAJE 31 OCT 2022 SERRANO DIEGO"/>
    <m/>
    <n v="1.65"/>
    <n v="-1.65"/>
    <n v="-83.43"/>
    <x v="1"/>
  </r>
  <r>
    <x v="1"/>
    <x v="1"/>
    <s v="01/11/2022"/>
    <s v="01/11/2022"/>
    <x v="11"/>
    <n v="9436"/>
    <s v="FC#25070 HOSPEDAJE 31 OCT 2022 PAUL DEL CASTILLO"/>
    <m/>
    <n v="1.65"/>
    <n v="-1.65"/>
    <n v="-85.08"/>
    <x v="1"/>
  </r>
  <r>
    <x v="1"/>
    <x v="1"/>
    <s v="01/11/2022"/>
    <s v="01/11/2022"/>
    <x v="11"/>
    <n v="9437"/>
    <s v="FC#25069 HOSPEDAJE 31 OCT 2022 RODAS GUILLERMO"/>
    <m/>
    <n v="1.65"/>
    <n v="-1.65"/>
    <n v="-86.73"/>
    <x v="1"/>
  </r>
  <r>
    <x v="1"/>
    <x v="1"/>
    <s v="01/11/2022"/>
    <s v="01/11/2022"/>
    <x v="11"/>
    <n v="9439"/>
    <s v="FC#6967 ATENCION VUELO 22/10/2022 - 31/10/2022 N24"/>
    <m/>
    <n v="7.12"/>
    <n v="-7.12"/>
    <n v="-93.85"/>
    <x v="1"/>
  </r>
  <r>
    <x v="1"/>
    <x v="1"/>
    <s v="01/11/2022"/>
    <s v="01/11/2022"/>
    <x v="11"/>
    <n v="9440"/>
    <s v="FC#6971 GH &amp; HANGAR PLATAFORMA OCT/2022 N245FH ECU"/>
    <m/>
    <n v="70.13"/>
    <n v="-70.13"/>
    <n v="-163.98"/>
    <x v="1"/>
  </r>
  <r>
    <x v="1"/>
    <x v="1"/>
    <s v="01/11/2022"/>
    <s v="01/11/2022"/>
    <x v="11"/>
    <n v="9451"/>
    <s v="FC#468054 LAARCOM SERVICIO MONITOREO HANGAR GYE NO"/>
    <m/>
    <n v="6.27"/>
    <n v="-6.27"/>
    <n v="-170.25"/>
    <x v="1"/>
  </r>
  <r>
    <x v="1"/>
    <x v="1"/>
    <s v="03/11/2022"/>
    <s v="03/11/2022"/>
    <x v="11"/>
    <n v="9607"/>
    <s v="FC#7001 ATENCION VUELO 01/11/2022 - 03/11/2022 N24"/>
    <m/>
    <n v="15.46"/>
    <n v="-15.46"/>
    <n v="-185.71"/>
    <x v="1"/>
  </r>
  <r>
    <x v="1"/>
    <x v="1"/>
    <s v="09/11/2022"/>
    <s v="09/11/2022"/>
    <x v="11"/>
    <n v="9452"/>
    <s v="FC#25405 HOSPEDAJE 08 NOV 2022 RODAS GUILLERMO"/>
    <m/>
    <n v="1.65"/>
    <n v="-1.65"/>
    <n v="-187.36"/>
    <x v="1"/>
  </r>
  <r>
    <x v="1"/>
    <x v="1"/>
    <s v="09/11/2022"/>
    <s v="09/11/2022"/>
    <x v="11"/>
    <n v="9453"/>
    <s v="FC#25406 HOSPEDAJE 08 NOV 2022 BENAVIDES XIMENA"/>
    <m/>
    <n v="2.2000000000000002"/>
    <n v="-2.2000000000000002"/>
    <n v="-189.56"/>
    <x v="1"/>
  </r>
  <r>
    <x v="1"/>
    <x v="1"/>
    <s v="10/11/2022"/>
    <s v="10/11/2022"/>
    <x v="11"/>
    <n v="9450"/>
    <s v="FC#1174 SERV AUDITORIA EEFF 2022 CUOTA 1/5"/>
    <m/>
    <n v="11"/>
    <n v="-11"/>
    <n v="-200.56"/>
    <x v="1"/>
  </r>
  <r>
    <x v="1"/>
    <x v="1"/>
    <s v="10/11/2022"/>
    <s v="10/11/2022"/>
    <x v="11"/>
    <n v="9518"/>
    <s v="FC#25434 HOSPEDAJE 09 NOV 2022 RODAS GUILLERMO"/>
    <m/>
    <n v="1.69"/>
    <n v="-1.69"/>
    <n v="-202.25"/>
    <x v="1"/>
  </r>
  <r>
    <x v="1"/>
    <x v="1"/>
    <s v="11/11/2022"/>
    <s v="11/11/2022"/>
    <x v="11"/>
    <n v="9519"/>
    <s v="FC#25477 HOSPEDAJE 10 NOV 2022 RODAS GUILLERMO"/>
    <m/>
    <n v="1.69"/>
    <n v="-1.69"/>
    <n v="-203.94"/>
    <x v="1"/>
  </r>
  <r>
    <x v="1"/>
    <x v="1"/>
    <s v="15/11/2022"/>
    <s v="15/11/2022"/>
    <x v="11"/>
    <n v="9608"/>
    <s v="FC#7069 ATENCION VUELO 11/11/2022 - 12/11/2022 N24"/>
    <m/>
    <n v="2.2799999999999998"/>
    <n v="-2.2799999999999998"/>
    <n v="-206.22"/>
    <x v="1"/>
  </r>
  <r>
    <x v="1"/>
    <x v="1"/>
    <s v="15/11/2022"/>
    <s v="15/11/2022"/>
    <x v="11"/>
    <n v="9609"/>
    <s v="FC#7070 ATENCION VUELO 12/11/2022 - 13/11/2022 HC"/>
    <m/>
    <n v="1.33"/>
    <n v="-1.33"/>
    <n v="-207.55"/>
    <x v="1"/>
  </r>
  <r>
    <x v="1"/>
    <x v="1"/>
    <s v="16/12/2022"/>
    <s v="16/11/2022"/>
    <x v="12"/>
    <n v="9520"/>
    <s v="FC#23344 ARRIENDO DE ESPACIO AEROPUERTO G. LC:15-C"/>
    <m/>
    <n v="66"/>
    <n v="-66"/>
    <n v="-273.55"/>
    <x v="1"/>
  </r>
  <r>
    <x v="1"/>
    <x v="1"/>
    <s v="17/11/2022"/>
    <s v="17/11/2022"/>
    <x v="11"/>
    <n v="9517"/>
    <s v="FC#9731 TRABAJOS MTTO HC-CVK VIBRACIONES DE ROTOR,"/>
    <m/>
    <n v="18.98"/>
    <n v="-18.98"/>
    <n v="-292.52999999999997"/>
    <x v="1"/>
  </r>
  <r>
    <x v="1"/>
    <x v="1"/>
    <s v="19/12/2022"/>
    <s v="17/11/2022"/>
    <x v="12"/>
    <n v="9521"/>
    <s v="FC#23358 VARIABLE MENSUAL POR CONCESIÓN MERCANTIL"/>
    <m/>
    <n v="20.6"/>
    <n v="-20.6"/>
    <n v="-313.13"/>
    <x v="1"/>
  </r>
  <r>
    <x v="1"/>
    <x v="1"/>
    <s v="18/11/2022"/>
    <s v="18/11/2022"/>
    <x v="11"/>
    <n v="9654"/>
    <s v="FC#194737 IMPORT REPUESTOS ADUANAS MANEJO, BODEGAJ"/>
    <m/>
    <n v="2.57"/>
    <n v="-2.57"/>
    <n v="-315.7"/>
    <x v="1"/>
  </r>
  <r>
    <x v="1"/>
    <x v="1"/>
    <s v="18/11/2022"/>
    <s v="18/11/2022"/>
    <x v="11"/>
    <n v="9655"/>
    <s v="Factura de proveedores - Cancelación - PN179195904"/>
    <m/>
    <n v="-2.57"/>
    <n v="2.57"/>
    <n v="-313.13"/>
    <x v="1"/>
  </r>
  <r>
    <x v="1"/>
    <x v="1"/>
    <s v="21/11/2022"/>
    <s v="19/11/2022"/>
    <x v="11"/>
    <n v="9610"/>
    <s v="FC#7097 ATENCION VUELO 13/11/2022 - 19/11/2022 HC"/>
    <m/>
    <n v="8.27"/>
    <n v="-8.27"/>
    <n v="-321.39999999999998"/>
    <x v="1"/>
  </r>
  <r>
    <x v="1"/>
    <x v="1"/>
    <s v="21/11/2022"/>
    <s v="20/11/2022"/>
    <x v="11"/>
    <n v="9611"/>
    <s v="FC#7100 ATENCION VUELO 19/11/2022 - 20/11/2022 HC"/>
    <m/>
    <n v="2.17"/>
    <n v="-2.17"/>
    <n v="-323.57"/>
    <x v="1"/>
  </r>
  <r>
    <x v="1"/>
    <x v="1"/>
    <s v="21/11/2022"/>
    <s v="21/11/2022"/>
    <x v="11"/>
    <n v="9587"/>
    <s v="ND 126808290 PAGO RETEN FTE OCT 2022 SRI"/>
    <n v="79.72"/>
    <m/>
    <n v="79.72"/>
    <n v="-243.85"/>
    <x v="2"/>
  </r>
  <r>
    <x v="1"/>
    <x v="1"/>
    <s v="21/11/2022"/>
    <s v="21/11/2022"/>
    <x v="11"/>
    <n v="9612"/>
    <s v="FC#7103 ATENCION VUELO 07/11/2022 - 21/11/2022 N24"/>
    <m/>
    <n v="7.86"/>
    <n v="-7.86"/>
    <n v="-251.71"/>
    <x v="1"/>
  </r>
  <r>
    <x v="1"/>
    <x v="1"/>
    <s v="22/11/2022"/>
    <s v="22/11/2022"/>
    <x v="11"/>
    <n v="9530"/>
    <s v="FC#25801 HOSPEDAJE 21 NOV 2022 PAUL DEL CASTILLO"/>
    <m/>
    <n v="1.65"/>
    <n v="-1.65"/>
    <n v="-253.36"/>
    <x v="1"/>
  </r>
  <r>
    <x v="1"/>
    <x v="1"/>
    <s v="22/11/2022"/>
    <s v="22/11/2022"/>
    <x v="11"/>
    <n v="9538"/>
    <s v="FC#25783 HOSPEDAJE 21 NOV 2022 RODAS GUILLERMO"/>
    <m/>
    <n v="2.2000000000000002"/>
    <n v="-2.2000000000000002"/>
    <n v="-255.56"/>
    <x v="1"/>
  </r>
  <r>
    <x v="1"/>
    <x v="1"/>
    <s v="22/11/2022"/>
    <s v="22/11/2022"/>
    <x v="11"/>
    <n v="9539"/>
    <s v="FC#25784 HOSPEDAJE 21 NOV 2022 SERRANO DIEGO"/>
    <m/>
    <n v="1.65"/>
    <n v="-1.65"/>
    <n v="-257.20999999999998"/>
    <x v="1"/>
  </r>
  <r>
    <x v="1"/>
    <x v="1"/>
    <s v="01/12/2022"/>
    <s v="01/12/2022"/>
    <x v="12"/>
    <n v="9613"/>
    <s v="FC#7169 ATENCION VUELO 27/11/2022 - 30/11/2022 HC"/>
    <m/>
    <n v="4.41"/>
    <n v="-4.41"/>
    <n v="-261.62"/>
    <x v="1"/>
  </r>
  <r>
    <x v="1"/>
    <x v="1"/>
    <s v="01/12/2022"/>
    <s v="01/12/2022"/>
    <x v="12"/>
    <n v="9615"/>
    <s v="FC#7179 GH &amp; HANGAR PLATAFORMA NOV/2022 N245FH ECU"/>
    <m/>
    <n v="70.13"/>
    <n v="-70.13"/>
    <n v="-331.75"/>
    <x v="1"/>
  </r>
  <r>
    <x v="1"/>
    <x v="1"/>
    <s v="01/12/2022"/>
    <s v="01/12/2022"/>
    <x v="12"/>
    <n v="9644"/>
    <s v="FC#301789 INTERNET DEDICADO 5MB- MADIR-AEROPUERTO-"/>
    <m/>
    <n v="2.06"/>
    <n v="-2.06"/>
    <n v="-333.81"/>
    <x v="1"/>
  </r>
  <r>
    <x v="1"/>
    <x v="1"/>
    <s v="01/12/2022"/>
    <s v="01/12/2022"/>
    <x v="12"/>
    <n v="9647"/>
    <s v="FC#7170 ATENCION VUELO 27/11/2022 - 30/11/2022 HC"/>
    <m/>
    <n v="0.38"/>
    <n v="-0.38"/>
    <n v="-334.19"/>
    <x v="1"/>
  </r>
  <r>
    <x v="1"/>
    <x v="1"/>
    <s v="02/12/2022"/>
    <s v="02/12/2022"/>
    <x v="12"/>
    <n v="9614"/>
    <s v="FC#7175 ATENCION VUELO 26/11/2022 - 27/11/2022 HC"/>
    <m/>
    <n v="1.84"/>
    <n v="-1.84"/>
    <n v="-336.03"/>
    <x v="1"/>
  </r>
  <r>
    <x v="1"/>
    <x v="1"/>
    <s v="02/12/2022"/>
    <s v="02/12/2022"/>
    <x v="12"/>
    <n v="9616"/>
    <s v="FC#7205 ATENCION VUELO 22/11/2022 - 02/12/2022 N24"/>
    <m/>
    <n v="18.18"/>
    <n v="-18.18"/>
    <n v="-354.21"/>
    <x v="1"/>
  </r>
  <r>
    <x v="1"/>
    <x v="1"/>
    <s v="02/12/2022"/>
    <s v="02/12/2022"/>
    <x v="12"/>
    <n v="9643"/>
    <s v="FC#26129 HOSPEDAJE 01 DIC 2022 BENAVIDES XIMENA"/>
    <m/>
    <n v="1.69"/>
    <n v="-1.69"/>
    <n v="-355.9"/>
    <x v="1"/>
  </r>
  <r>
    <x v="1"/>
    <x v="1"/>
    <s v="31/12/2022"/>
    <s v="05/12/2022"/>
    <x v="12"/>
    <n v="9641"/>
    <s v="FC#23386 ARRIENDO DE ESPACIO AEROPUERTO G. LC:15-C"/>
    <m/>
    <n v="66"/>
    <n v="-66"/>
    <n v="-421.9"/>
    <x v="1"/>
  </r>
  <r>
    <x v="1"/>
    <x v="1"/>
    <s v="08/12/2022"/>
    <s v="08/12/2022"/>
    <x v="12"/>
    <n v="9742"/>
    <s v="FC#7240 ATENCION VUELO 05/12/2022 - 08/12/2022 N24"/>
    <m/>
    <n v="20.46"/>
    <n v="-20.46"/>
    <n v="-442.36"/>
    <x v="1"/>
  </r>
  <r>
    <x v="1"/>
    <x v="1"/>
    <s v="13/12/2022"/>
    <s v="13/12/2022"/>
    <x v="12"/>
    <n v="9682"/>
    <s v="FC#1185 SERV AUDITORIA EEFF 2022 CUOTA 2/5"/>
    <m/>
    <n v="11"/>
    <n v="-11"/>
    <n v="-453.36"/>
    <x v="1"/>
  </r>
  <r>
    <x v="1"/>
    <x v="1"/>
    <s v="31/12/2022"/>
    <s v="19/12/2022"/>
    <x v="12"/>
    <n v="9715"/>
    <s v="FC#23616 VARIABLE MENSUAL POR CONCESIÓN MERCANTIL"/>
    <m/>
    <n v="13.04"/>
    <n v="-13.04"/>
    <n v="-466.4"/>
    <x v="1"/>
  </r>
  <r>
    <x v="1"/>
    <x v="1"/>
    <s v="20/12/2022"/>
    <s v="20/12/2022"/>
    <x v="12"/>
    <n v="9714"/>
    <s v="FC#10457 ESTUDIO ACTUARIAL AL 31/12/2022 8 TRABAJA"/>
    <m/>
    <n v="6.6"/>
    <n v="-6.6"/>
    <n v="-473"/>
    <x v="1"/>
  </r>
  <r>
    <x v="1"/>
    <x v="1"/>
    <s v="20/12/2022"/>
    <s v="20/12/2022"/>
    <x v="12"/>
    <n v="9727"/>
    <s v="ND 40523738 PAGO RETEN FTE NOV 2022 SRI FORM 103"/>
    <n v="257.20999999999998"/>
    <m/>
    <n v="257.20999999999998"/>
    <n v="-215.79"/>
    <x v="2"/>
  </r>
  <r>
    <x v="1"/>
    <x v="1"/>
    <s v="20/12/2022"/>
    <s v="20/12/2022"/>
    <x v="12"/>
    <n v="9743"/>
    <s v="FC#7320 ATENCION VUELO 12/12/2022 - 20/12/2022 N24"/>
    <m/>
    <n v="19.739999999999998"/>
    <n v="-19.739999999999998"/>
    <n v="-235.53"/>
    <x v="1"/>
  </r>
  <r>
    <x v="1"/>
    <x v="1"/>
    <s v="21/12/2022"/>
    <s v="21/12/2022"/>
    <x v="12"/>
    <n v="9744"/>
    <s v="FC#7349 ATENCION VUELO 20/12/2022 - 21/12/2022 N24"/>
    <m/>
    <n v="24.05"/>
    <n v="-24.05"/>
    <n v="-259.58"/>
    <x v="1"/>
  </r>
  <r>
    <x v="1"/>
    <x v="1"/>
    <s v="27/12/2022"/>
    <s v="27/12/2022"/>
    <x v="12"/>
    <n v="9745"/>
    <s v="FC#7374 ATENCION VUELO 26/12/2022 - 27/12/2022 N24"/>
    <m/>
    <n v="24.17"/>
    <n v="-24.17"/>
    <n v="-283.75"/>
    <x v="1"/>
  </r>
  <r>
    <x v="2"/>
    <x v="2"/>
    <n v="2021"/>
    <s v="Pasivos"/>
    <x v="7"/>
    <m/>
    <s v="Retención Fuente 8%"/>
    <m/>
    <m/>
    <n v="0"/>
    <n v="0"/>
    <x v="0"/>
  </r>
  <r>
    <x v="2"/>
    <x v="2"/>
    <s v="12/01/2022"/>
    <s v="12/01/2022"/>
    <x v="1"/>
    <n v="7995"/>
    <s v="FACT. 2570 HOSPEDAJE LEONID COELLO QUITO ATENCION"/>
    <m/>
    <n v="6.4"/>
    <n v="-6.4"/>
    <n v="-6.4"/>
    <x v="1"/>
  </r>
  <r>
    <x v="2"/>
    <x v="2"/>
    <s v="21/02/2022"/>
    <s v="21/02/2022"/>
    <x v="2"/>
    <n v="8312"/>
    <s v="ND PAGO RETEN FTE ENERO 2022 SRI FORMULARIO 103"/>
    <n v="6.4"/>
    <m/>
    <n v="6.4"/>
    <n v="0"/>
    <x v="2"/>
  </r>
  <r>
    <x v="2"/>
    <x v="2"/>
    <s v="09/05/2022"/>
    <s v="09/05/2022"/>
    <x v="4"/>
    <n v="8634"/>
    <s v="FC#127 SERVICIOS PROFESIONALES"/>
    <m/>
    <n v="3.2"/>
    <n v="-3.2"/>
    <n v="-3.2"/>
    <x v="1"/>
  </r>
  <r>
    <x v="2"/>
    <x v="2"/>
    <s v="21/06/2022"/>
    <s v="21/06/2022"/>
    <x v="6"/>
    <n v="8886"/>
    <s v="ND PAGO RETENCIONES FUENTE MAYO SRI FORM 103"/>
    <n v="3.2"/>
    <m/>
    <n v="3.2"/>
    <n v="0"/>
    <x v="2"/>
  </r>
  <r>
    <x v="2"/>
    <x v="2"/>
    <s v="23/06/2022"/>
    <s v="23/06/2022"/>
    <x v="6"/>
    <n v="8771"/>
    <s v="FC#598 ASESORIA AERONAUTICA (2.3 HORAS HC-CVK)"/>
    <m/>
    <n v="32"/>
    <n v="-32"/>
    <n v="-32"/>
    <x v="1"/>
  </r>
  <r>
    <x v="2"/>
    <x v="2"/>
    <s v="19/07/2022"/>
    <s v="19/07/2022"/>
    <x v="7"/>
    <n v="8956"/>
    <s v="ND PAGO RETEN FTE JUNIO 2022 FORM 103 SRI"/>
    <n v="2040"/>
    <m/>
    <n v="2040"/>
    <n v="2008"/>
    <x v="3"/>
  </r>
  <r>
    <x v="2"/>
    <x v="2"/>
    <s v="19/07/2022"/>
    <s v="19/07/2022"/>
    <x v="7"/>
    <n v="8986"/>
    <s v="ND PAGO RETEN FTE JUNIO 2022 FORM 103 SRI(Anulació"/>
    <n v="-2040"/>
    <m/>
    <n v="-2040"/>
    <n v="-32"/>
    <x v="3"/>
  </r>
  <r>
    <x v="2"/>
    <x v="2"/>
    <s v="19/07/2022"/>
    <s v="19/07/2022"/>
    <x v="7"/>
    <n v="8987"/>
    <s v="ND PAGO RETEN FTE JUNIO 2022 FORM 103 SRI"/>
    <n v="32"/>
    <m/>
    <n v="32"/>
    <n v="0"/>
    <x v="2"/>
  </r>
  <r>
    <x v="2"/>
    <x v="2"/>
    <s v="13/09/2022"/>
    <s v="13/09/2022"/>
    <x v="9"/>
    <n v="9172"/>
    <s v="FC#186755 DECLARACION JURAMENTADA CERTIFICACION DO"/>
    <m/>
    <n v="4.71"/>
    <n v="-4.71"/>
    <n v="-4.71"/>
    <x v="1"/>
  </r>
  <r>
    <x v="2"/>
    <x v="2"/>
    <s v="12/10/2022"/>
    <s v="12/10/2022"/>
    <x v="10"/>
    <n v="9295"/>
    <s v="FC#188704 DECLARACION JURAMENTADA BANCO CENTRAL"/>
    <m/>
    <n v="4.68"/>
    <n v="-4.68"/>
    <n v="-9.39"/>
    <x v="1"/>
  </r>
  <r>
    <x v="2"/>
    <x v="2"/>
    <s v="19/10/2022"/>
    <s v="19/10/2022"/>
    <x v="10"/>
    <n v="9424"/>
    <s v="ND 30480126 PAGO RETEN FUENTE SEP 2022 SRI FORM 10"/>
    <n v="4.71"/>
    <m/>
    <n v="4.71"/>
    <n v="-4.68"/>
    <x v="2"/>
  </r>
  <r>
    <x v="2"/>
    <x v="2"/>
    <s v="21/11/2022"/>
    <s v="21/11/2022"/>
    <x v="11"/>
    <n v="9587"/>
    <s v="ND 126808290 PAGO RETEN FTE OCT 2022 SRI"/>
    <n v="4.68"/>
    <m/>
    <n v="4.68"/>
    <n v="0"/>
    <x v="2"/>
  </r>
  <r>
    <x v="2"/>
    <x v="2"/>
    <s v="22/11/2022"/>
    <s v="22/11/2022"/>
    <x v="11"/>
    <n v="9532"/>
    <s v="FC#981 TRABAJOS MTTO AERONAVE HC-CTD 28-29-31 OCT/"/>
    <m/>
    <n v="51.2"/>
    <n v="-51.2"/>
    <n v="-51.2"/>
    <x v="1"/>
  </r>
  <r>
    <x v="2"/>
    <x v="2"/>
    <s v="20/12/2022"/>
    <s v="20/12/2022"/>
    <x v="12"/>
    <n v="9727"/>
    <s v="ND 40523738 PAGO RETEN FTE NOV 2022 SRI FORM 103"/>
    <n v="51.2"/>
    <m/>
    <n v="51.2"/>
    <n v="0"/>
    <x v="2"/>
  </r>
  <r>
    <x v="3"/>
    <x v="3"/>
    <n v="2021"/>
    <s v="Pasivos"/>
    <x v="7"/>
    <m/>
    <s v="Retención Fuente 10%"/>
    <m/>
    <m/>
    <n v="0"/>
    <n v="0"/>
    <x v="0"/>
  </r>
  <r>
    <x v="3"/>
    <x v="3"/>
    <s v="12/12/2022"/>
    <s v="12/12/2022"/>
    <x v="12"/>
    <n v="9686"/>
    <s v="FC#1 SERVICIOS AERONAUTICOS NOV/2022"/>
    <m/>
    <n v="350"/>
    <n v="-350"/>
    <n v="-350"/>
    <x v="1"/>
  </r>
  <r>
    <x v="4"/>
    <x v="4"/>
    <n v="2021"/>
    <s v="Pasivos"/>
    <x v="7"/>
    <m/>
    <s v="Retención en la fuente bajo relación de dependencia"/>
    <m/>
    <m/>
    <n v="-554"/>
    <n v="-554"/>
    <x v="0"/>
  </r>
  <r>
    <x v="4"/>
    <x v="4"/>
    <s v="19/01/2022"/>
    <s v="19/01/2022"/>
    <x v="1"/>
    <n v="8072"/>
    <s v="ND PAGO RETENCIONES FUENTE DIC 2021 FORM 103 SRI"/>
    <n v="554"/>
    <m/>
    <n v="554"/>
    <n v="0"/>
    <x v="2"/>
  </r>
  <r>
    <x v="4"/>
    <x v="4"/>
    <s v="31/01/2022"/>
    <s v="31/01/2022"/>
    <x v="1"/>
    <n v="8560"/>
    <s v="Reg. Rol Pagos Enero 2022"/>
    <m/>
    <n v="1214.93"/>
    <n v="-1214.93"/>
    <n v="-1214.93"/>
    <x v="1"/>
  </r>
  <r>
    <x v="4"/>
    <x v="4"/>
    <s v="21/02/2022"/>
    <s v="21/02/2022"/>
    <x v="2"/>
    <n v="8312"/>
    <s v="ND PAGO RETEN FTE ENERO 2022 SRI FORMULARIO 103"/>
    <n v="1214.93"/>
    <m/>
    <n v="1214.93"/>
    <n v="0"/>
    <x v="2"/>
  </r>
  <r>
    <x v="4"/>
    <x v="4"/>
    <s v="28/02/2022"/>
    <s v="28/02/2022"/>
    <x v="2"/>
    <n v="8555"/>
    <s v="Reg. Rol Pagos Febrero 2022"/>
    <m/>
    <n v="1214.93"/>
    <n v="-1214.93"/>
    <n v="-1214.93"/>
    <x v="1"/>
  </r>
  <r>
    <x v="4"/>
    <x v="4"/>
    <s v="21/03/2022"/>
    <s v="21/03/2022"/>
    <x v="3"/>
    <n v="8369"/>
    <s v="ND PAGO RETENCION FUENTE FEBRERO 2022 SRI FORM 103"/>
    <n v="1214.93"/>
    <m/>
    <n v="1214.93"/>
    <n v="0"/>
    <x v="2"/>
  </r>
  <r>
    <x v="4"/>
    <x v="4"/>
    <s v="31/03/2022"/>
    <s v="31/03/2022"/>
    <x v="3"/>
    <n v="8557"/>
    <s v="Reg. Rol Pagos Marzo 2022"/>
    <m/>
    <n v="1214.93"/>
    <n v="-1214.93"/>
    <n v="-1214.93"/>
    <x v="1"/>
  </r>
  <r>
    <x v="4"/>
    <x v="4"/>
    <s v="19/04/2022"/>
    <s v="19/04/2022"/>
    <x v="5"/>
    <n v="8572"/>
    <s v="ND 26570501 PAGO RETENCIONES FUENTE MARZO 2022 SRI"/>
    <n v="1214.93"/>
    <m/>
    <n v="1214.93"/>
    <n v="0"/>
    <x v="2"/>
  </r>
  <r>
    <x v="4"/>
    <x v="4"/>
    <s v="30/04/2022"/>
    <s v="30/04/2022"/>
    <x v="5"/>
    <n v="8562"/>
    <s v="Reg. Rol Pagos Abril 2022"/>
    <m/>
    <n v="2040.01"/>
    <n v="-2040.01"/>
    <n v="-2040.01"/>
    <x v="1"/>
  </r>
  <r>
    <x v="4"/>
    <x v="4"/>
    <s v="19/05/2022"/>
    <s v="19/05/2022"/>
    <x v="4"/>
    <n v="8661"/>
    <s v="ND 25372192 PAGO RETENCIONES FUENTE ABRIL 2022 FOR"/>
    <n v="2040.01"/>
    <m/>
    <n v="2040.01"/>
    <n v="0"/>
    <x v="2"/>
  </r>
  <r>
    <x v="4"/>
    <x v="4"/>
    <s v="31/05/2022"/>
    <s v="31/05/2022"/>
    <x v="4"/>
    <n v="8714"/>
    <s v="Reg. Rol Pagos Mayo 2022"/>
    <m/>
    <n v="2040.01"/>
    <n v="-2040.01"/>
    <n v="-2040.01"/>
    <x v="1"/>
  </r>
  <r>
    <x v="4"/>
    <x v="4"/>
    <s v="21/06/2022"/>
    <s v="21/06/2022"/>
    <x v="6"/>
    <n v="8886"/>
    <s v="ND PAGO RETENCIONES FUENTE MAYO SRI FORM 103"/>
    <n v="2040.01"/>
    <m/>
    <n v="2040.01"/>
    <n v="0"/>
    <x v="2"/>
  </r>
  <r>
    <x v="4"/>
    <x v="4"/>
    <s v="30/06/2022"/>
    <s v="30/06/2022"/>
    <x v="6"/>
    <n v="8984"/>
    <s v="Reg. Rol Pagos Junio 2022"/>
    <m/>
    <n v="2040"/>
    <n v="-2040"/>
    <n v="-2040"/>
    <x v="1"/>
  </r>
  <r>
    <x v="4"/>
    <x v="4"/>
    <s v="19/07/2022"/>
    <s v="19/07/2022"/>
    <x v="7"/>
    <n v="8987"/>
    <s v="ND PAGO RETEN FTE JUNIO 2022 FORM 103 SRI"/>
    <n v="2040"/>
    <m/>
    <n v="2040"/>
    <n v="0"/>
    <x v="2"/>
  </r>
  <r>
    <x v="4"/>
    <x v="4"/>
    <s v="31/07/2022"/>
    <s v="31/07/2022"/>
    <x v="7"/>
    <n v="8985"/>
    <s v="Reg. Rol Pagos Julio 2022"/>
    <m/>
    <n v="2040.01"/>
    <n v="-2040.01"/>
    <n v="-2040.01"/>
    <x v="1"/>
  </r>
  <r>
    <x v="4"/>
    <x v="4"/>
    <s v="19/08/2022"/>
    <s v="19/08/2022"/>
    <x v="8"/>
    <n v="9152"/>
    <s v="ND PAGO RETENCIONES FUENTE JULIO 2022 SRI FORM 103"/>
    <n v="2040.01"/>
    <m/>
    <n v="2040.01"/>
    <n v="0"/>
    <x v="2"/>
  </r>
  <r>
    <x v="4"/>
    <x v="4"/>
    <s v="31/08/2022"/>
    <s v="31/08/2022"/>
    <x v="8"/>
    <n v="9193"/>
    <s v="Reg. Rol Pagos Agosto 2022"/>
    <m/>
    <n v="2065.98"/>
    <n v="-2065.98"/>
    <n v="-2065.98"/>
    <x v="1"/>
  </r>
  <r>
    <x v="4"/>
    <x v="4"/>
    <s v="20/09/2022"/>
    <s v="20/09/2022"/>
    <x v="9"/>
    <n v="9284"/>
    <s v="ND 29962985 PAGO RETEN FTE AGOSTO 2022 SRI FORM 10"/>
    <n v="2065.98"/>
    <m/>
    <n v="2065.98"/>
    <n v="0"/>
    <x v="2"/>
  </r>
  <r>
    <x v="4"/>
    <x v="4"/>
    <s v="30/09/2022"/>
    <s v="30/09/2022"/>
    <x v="9"/>
    <n v="9325"/>
    <s v="Reg. Rol Pagos Septiembre 2022"/>
    <m/>
    <n v="2040.01"/>
    <n v="-2040.01"/>
    <n v="-2040.01"/>
    <x v="1"/>
  </r>
  <r>
    <x v="4"/>
    <x v="4"/>
    <s v="19/10/2022"/>
    <s v="19/10/2022"/>
    <x v="10"/>
    <n v="9424"/>
    <s v="ND 30480126 PAGO RETEN FUENTE SEP 2022 SRI FORM 10"/>
    <n v="2040.01"/>
    <m/>
    <n v="2040.01"/>
    <n v="0"/>
    <x v="2"/>
  </r>
  <r>
    <x v="4"/>
    <x v="4"/>
    <s v="31/10/2022"/>
    <s v="31/10/2022"/>
    <x v="10"/>
    <n v="9475"/>
    <s v="Reg. Rol Pagos Octubre 2022"/>
    <m/>
    <n v="2106.7600000000002"/>
    <n v="-2106.7600000000002"/>
    <n v="-2106.7600000000002"/>
    <x v="1"/>
  </r>
  <r>
    <x v="4"/>
    <x v="4"/>
    <s v="21/11/2022"/>
    <s v="21/11/2022"/>
    <x v="11"/>
    <n v="9587"/>
    <s v="ND 126808290 PAGO RETEN FTE OCT 2022 SRI"/>
    <n v="2106.7600000000002"/>
    <m/>
    <n v="2106.7600000000002"/>
    <n v="0"/>
    <x v="2"/>
  </r>
  <r>
    <x v="4"/>
    <x v="4"/>
    <s v="30/11/2022"/>
    <s v="30/11/2022"/>
    <x v="11"/>
    <n v="9671"/>
    <s v="Reg. Rol Pagos Noviembre 2022"/>
    <m/>
    <n v="2112.81"/>
    <n v="-2112.81"/>
    <n v="-2112.81"/>
    <x v="1"/>
  </r>
  <r>
    <x v="4"/>
    <x v="4"/>
    <s v="20/12/2022"/>
    <s v="20/12/2022"/>
    <x v="12"/>
    <n v="9727"/>
    <s v="ND 40523738 PAGO RETEN FTE NOV 2022 SRI FORM 103"/>
    <n v="2112.81"/>
    <m/>
    <n v="2112.81"/>
    <n v="0"/>
    <x v="2"/>
  </r>
  <r>
    <x v="4"/>
    <x v="4"/>
    <s v="31/12/2022"/>
    <s v="31/12/2022"/>
    <x v="12"/>
    <n v="9823"/>
    <s v="Reg. Rol Pagos Diciembre 2022"/>
    <m/>
    <n v="2093.48"/>
    <n v="-2093.48"/>
    <n v="-2093.48"/>
    <x v="1"/>
  </r>
  <r>
    <x v="5"/>
    <x v="5"/>
    <n v="2021"/>
    <s v="Pasivos"/>
    <x v="0"/>
    <m/>
    <s v="Retención Fuente 1%"/>
    <m/>
    <m/>
    <n v="0"/>
    <n v="0"/>
    <x v="0"/>
  </r>
  <r>
    <x v="5"/>
    <x v="5"/>
    <s v="04/01/2022"/>
    <s v="04/01/2022"/>
    <x v="1"/>
    <n v="7942"/>
    <s v="FC 3158 RECARGA Y MANT EXTINTOR 20,10LBS"/>
    <m/>
    <n v="1.3"/>
    <n v="-1.3"/>
    <n v="-1.3"/>
    <x v="1"/>
  </r>
  <r>
    <x v="5"/>
    <x v="5"/>
    <s v="05/01/2022"/>
    <s v="05/01/2022"/>
    <x v="1"/>
    <n v="8000"/>
    <s v="FACT. 734 HOSPEDAJE GALAPAGOS GUILLERMO RODAS Y PA"/>
    <m/>
    <n v="2.04"/>
    <n v="-2.04"/>
    <n v="-3.34"/>
    <x v="1"/>
  </r>
  <r>
    <x v="5"/>
    <x v="5"/>
    <s v="03/02/2022"/>
    <s v="03/02/2022"/>
    <x v="2"/>
    <n v="8059"/>
    <s v="FAC. 3417 TRANSPORTE DE HELICOPTERO DE CANADA A GU"/>
    <m/>
    <n v="8.01"/>
    <n v="-8.01"/>
    <n v="-11.35"/>
    <x v="1"/>
  </r>
  <r>
    <x v="5"/>
    <x v="5"/>
    <s v="17/02/2022"/>
    <s v="17/02/2022"/>
    <x v="2"/>
    <n v="8093"/>
    <s v="FAC. 000003421 TRANSPORTE DE HELICOPTERO DE CANADA"/>
    <m/>
    <n v="1.43"/>
    <n v="-1.43"/>
    <n v="-12.78"/>
    <x v="1"/>
  </r>
  <r>
    <x v="5"/>
    <x v="5"/>
    <s v="21/02/2022"/>
    <s v="21/02/2022"/>
    <x v="2"/>
    <n v="8312"/>
    <s v="ND PAGO RETEN FTE ENERO 2022 SRI FORMULARIO 103"/>
    <n v="3.34"/>
    <m/>
    <n v="3.34"/>
    <n v="-9.44"/>
    <x v="2"/>
  </r>
  <r>
    <x v="5"/>
    <x v="5"/>
    <s v="02/03/2022"/>
    <s v="02/03/2022"/>
    <x v="3"/>
    <n v="8284"/>
    <s v="FC#758 HOSPEDAJE GUILLERMO RODAS DEL 25/02 AL 01/0"/>
    <m/>
    <n v="4"/>
    <n v="-4"/>
    <n v="-13.44"/>
    <x v="1"/>
  </r>
  <r>
    <x v="5"/>
    <x v="5"/>
    <s v="21/03/2022"/>
    <s v="21/03/2022"/>
    <x v="3"/>
    <n v="8369"/>
    <s v="ND PAGO RETENCION FUENTE FEBRERO 2022 SRI FORM 103"/>
    <n v="9.44"/>
    <m/>
    <n v="9.44"/>
    <n v="-4"/>
    <x v="2"/>
  </r>
  <r>
    <x v="5"/>
    <x v="5"/>
    <s v="24/03/2022"/>
    <s v="24/03/2022"/>
    <x v="3"/>
    <n v="8294"/>
    <s v="FC#3444 TRANSPORTE DE HELICOPTERO DE CANADA A GUAY"/>
    <m/>
    <n v="2.13"/>
    <n v="-2.13"/>
    <n v="-6.13"/>
    <x v="1"/>
  </r>
  <r>
    <x v="5"/>
    <x v="5"/>
    <s v="04/04/2022"/>
    <s v="04/04/2022"/>
    <x v="5"/>
    <n v="8416"/>
    <s v="FC#5797 PRUEBAS SARS-PCR DIEGO SERRANO"/>
    <m/>
    <n v="0.43"/>
    <n v="-0.43"/>
    <n v="-6.56"/>
    <x v="1"/>
  </r>
  <r>
    <x v="5"/>
    <x v="5"/>
    <s v="13/04/2022"/>
    <s v="13/04/2022"/>
    <x v="5"/>
    <n v="8378"/>
    <s v="FC#4726 LA CASA DE MARITA, HOSPEDAJE DEL 24 AL 27"/>
    <m/>
    <n v="5.0999999999999996"/>
    <n v="-5.0999999999999996"/>
    <n v="-11.66"/>
    <x v="1"/>
  </r>
  <r>
    <x v="5"/>
    <x v="5"/>
    <s v="13/04/2022"/>
    <s v="13/04/2022"/>
    <x v="5"/>
    <n v="8379"/>
    <s v="FC#4727 LA CASA DE MARITA, HOSPEDAJE DEL 08 AL 11"/>
    <m/>
    <n v="8.9600000000000009"/>
    <n v="-8.9600000000000009"/>
    <n v="-20.62"/>
    <x v="1"/>
  </r>
  <r>
    <x v="5"/>
    <x v="5"/>
    <s v="19/04/2022"/>
    <s v="19/04/2022"/>
    <x v="5"/>
    <n v="8572"/>
    <s v="ND 26570501 PAGO RETENCIONES FUENTE MARZO 2022 SRI"/>
    <n v="6.13"/>
    <m/>
    <n v="6.13"/>
    <n v="-14.49"/>
    <x v="2"/>
  </r>
  <r>
    <x v="5"/>
    <x v="5"/>
    <s v="19/05/2022"/>
    <s v="19/05/2022"/>
    <x v="4"/>
    <n v="8661"/>
    <s v="ND 25372192 PAGO RETENCIONES FUENTE ABRIL 2022 FOR"/>
    <n v="14.49"/>
    <m/>
    <n v="14.49"/>
    <n v="0"/>
    <x v="2"/>
  </r>
  <r>
    <x v="5"/>
    <x v="5"/>
    <s v="11/07/2022"/>
    <s v="11/07/2022"/>
    <x v="7"/>
    <n v="8799"/>
    <s v="FC#3942 RECARGA EXTINTOR 150 LBS, MANOMETRO Y MANG"/>
    <m/>
    <n v="2.0699999999999998"/>
    <n v="-2.0699999999999998"/>
    <n v="-2.0699999999999998"/>
    <x v="1"/>
  </r>
  <r>
    <x v="5"/>
    <x v="5"/>
    <s v="11/07/2022"/>
    <s v="11/07/2022"/>
    <x v="7"/>
    <n v="8800"/>
    <s v="FC#737 CARGA DE NITROGENO EXTINTOR PLATAFORMA"/>
    <m/>
    <n v="0.49"/>
    <n v="-0.49"/>
    <n v="-2.56"/>
    <x v="1"/>
  </r>
  <r>
    <x v="5"/>
    <x v="5"/>
    <s v="11/07/2022"/>
    <s v="11/07/2022"/>
    <x v="7"/>
    <n v="8905"/>
    <s v="FC#39 CURSO INICIAL MERC PELIGROSAS-SEG AVIACION S"/>
    <m/>
    <n v="10"/>
    <n v="-10"/>
    <n v="-12.56"/>
    <x v="1"/>
  </r>
  <r>
    <x v="5"/>
    <x v="5"/>
    <s v="01/08/2022"/>
    <s v="01/08/2022"/>
    <x v="8"/>
    <n v="9013"/>
    <s v="FC 2540 AJUSTE Y CALIBRACION TORQUIMETRO K-D TOOLS"/>
    <m/>
    <n v="1.69"/>
    <n v="-1.69"/>
    <n v="-14.25"/>
    <x v="1"/>
  </r>
  <r>
    <x v="5"/>
    <x v="5"/>
    <s v="19/08/2022"/>
    <s v="19/08/2022"/>
    <x v="8"/>
    <n v="9152"/>
    <s v="ND PAGO RETENCIONES FUENTE JULIO 2022 SRI FORM 103"/>
    <n v="12.56"/>
    <m/>
    <n v="12.56"/>
    <n v="-1.69"/>
    <x v="2"/>
  </r>
  <r>
    <x v="5"/>
    <x v="5"/>
    <s v="01/09/2022"/>
    <s v="01/09/2022"/>
    <x v="9"/>
    <n v="9238"/>
    <s v="FC#306 LIMP Y MTTO HC-CVK, HC-CXH, HC-CTD"/>
    <m/>
    <n v="16.45"/>
    <n v="-16.45"/>
    <n v="-18.14"/>
    <x v="1"/>
  </r>
  <r>
    <x v="5"/>
    <x v="5"/>
    <s v="20/09/2022"/>
    <s v="20/09/2022"/>
    <x v="9"/>
    <n v="9284"/>
    <s v="ND 29962985 PAGO RETEN FTE AGOSTO 2022 SRI FORM 10"/>
    <n v="1.69"/>
    <m/>
    <n v="1.69"/>
    <n v="-16.45"/>
    <x v="2"/>
  </r>
  <r>
    <x v="5"/>
    <x v="5"/>
    <s v="03/10/2022"/>
    <s v="03/10/2022"/>
    <x v="10"/>
    <n v="9353"/>
    <s v="FC#307 LIMP Y MTTO HC-CVK, HC-CXH, HC-CTD"/>
    <m/>
    <n v="16.100000000000001"/>
    <n v="-16.100000000000001"/>
    <n v="-32.549999999999997"/>
    <x v="1"/>
  </r>
  <r>
    <x v="5"/>
    <x v="5"/>
    <s v="19/10/2022"/>
    <s v="19/10/2022"/>
    <x v="10"/>
    <n v="9424"/>
    <s v="ND 30480126 PAGO RETEN FUENTE SEP 2022 SRI FORM 10"/>
    <n v="16.45"/>
    <m/>
    <n v="16.45"/>
    <n v="-16.100000000000001"/>
    <x v="2"/>
  </r>
  <r>
    <x v="5"/>
    <x v="5"/>
    <s v="09/11/2022"/>
    <s v="09/11/2022"/>
    <x v="11"/>
    <n v="9474"/>
    <s v="FC#2137 BIOMETRICO HUELLA Y FACIAL MB10-VL  MATERI"/>
    <m/>
    <n v="3.42"/>
    <n v="-3.42"/>
    <n v="-19.52"/>
    <x v="1"/>
  </r>
  <r>
    <x v="5"/>
    <x v="5"/>
    <s v="15/11/2022"/>
    <s v="15/11/2022"/>
    <x v="11"/>
    <n v="9472"/>
    <s v="FC#697 SERV ADMINISTRATIVOS (CANJE AEROPACIFICO)"/>
    <m/>
    <n v="7"/>
    <n v="-7"/>
    <n v="-26.52"/>
    <x v="1"/>
  </r>
  <r>
    <x v="5"/>
    <x v="5"/>
    <s v="21/11/2022"/>
    <s v="21/11/2022"/>
    <x v="11"/>
    <n v="9587"/>
    <s v="ND 126808290 PAGO RETEN FTE OCT 2022 SRI"/>
    <n v="16.100000000000001"/>
    <m/>
    <n v="16.100000000000001"/>
    <n v="-10.42"/>
    <x v="2"/>
  </r>
  <r>
    <x v="5"/>
    <x v="5"/>
    <s v="20/12/2022"/>
    <s v="20/12/2022"/>
    <x v="12"/>
    <n v="9727"/>
    <s v="ND 40523738 PAGO RETEN FTE NOV 2022 SRI FORM 103"/>
    <n v="10.42"/>
    <m/>
    <n v="10.42"/>
    <n v="0"/>
    <x v="2"/>
  </r>
  <r>
    <x v="5"/>
    <x v="5"/>
    <s v="21/12/2022"/>
    <s v="21/12/2022"/>
    <x v="12"/>
    <n v="9698"/>
    <s v="FC#5949 LA CASA DE MARITA, HOSPEDAJE DEL 02 AL 05"/>
    <m/>
    <n v="5.04"/>
    <n v="-5.04"/>
    <n v="-5.0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8BCAA-BEE1-42E6-BF0A-BA7B0F7DB22B}" name="TablaDinámica5" cacheId="4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B668:N676" firstHeaderRow="1" firstDataRow="2" firstDataCol="2"/>
  <pivotFields count="10">
    <pivotField axis="axisRow" compact="0" outline="0" showAll="0" defaultSubtotal="0">
      <items count="6">
        <item x="0"/>
        <item x="3"/>
        <item x="4"/>
        <item x="1"/>
        <item x="2"/>
        <item x="5"/>
      </items>
    </pivotField>
    <pivotField axis="axisRow" compact="0" outline="0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axis="axisCol" compact="0" outline="0" showAll="0">
      <items count="11">
        <item x="0"/>
        <item x="1"/>
        <item x="2"/>
        <item x="3"/>
        <item x="4"/>
        <item x="9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0"/>
    <field x="1"/>
  </rowFields>
  <rowItems count="7">
    <i>
      <x/>
      <x v="1"/>
    </i>
    <i>
      <x v="1"/>
      <x v="4"/>
    </i>
    <i>
      <x v="2"/>
      <x/>
    </i>
    <i>
      <x v="3"/>
      <x v="2"/>
    </i>
    <i>
      <x v="4"/>
      <x v="3"/>
    </i>
    <i>
      <x v="5"/>
      <x v="5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Movimiento" fld="9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2D6CF-7999-4DC2-8D3A-5652267FC398}" name="TablaDinámica1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A3:O11" firstHeaderRow="1" firstDataRow="2" firstDataCol="2" rowPageCount="1" colPageCount="1"/>
  <pivotFields count="12">
    <pivotField axis="axisRow" compact="0" outline="0" showAll="0" defaultSubtotal="0">
      <items count="6">
        <item x="2"/>
        <item x="3"/>
        <item x="4"/>
        <item x="0"/>
        <item x="1"/>
        <item x="5"/>
      </items>
    </pivotField>
    <pivotField axis="axisRow" compact="0" outline="0" showAll="0">
      <items count="7">
        <item x="4"/>
        <item x="0"/>
        <item x="3"/>
        <item x="1"/>
        <item x="2"/>
        <item x="5"/>
        <item t="default"/>
      </items>
    </pivotField>
    <pivotField compact="0" outline="0" showAll="0"/>
    <pivotField compact="0" outline="0" showAll="0"/>
    <pivotField axis="axisCol" compact="0" outline="0" showAll="0">
      <items count="14"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axis="axisPage" compact="0" outline="0" multipleItemSelectionAllowed="1" showAll="0">
      <items count="5">
        <item h="1" x="0"/>
        <item x="1"/>
        <item h="1" x="2"/>
        <item h="1" x="3"/>
        <item t="default"/>
      </items>
    </pivotField>
  </pivotFields>
  <rowFields count="2">
    <field x="0"/>
    <field x="1"/>
  </rowFields>
  <rowItems count="7">
    <i>
      <x/>
      <x v="4"/>
    </i>
    <i>
      <x v="1"/>
      <x v="2"/>
    </i>
    <i>
      <x v="2"/>
      <x/>
    </i>
    <i>
      <x v="3"/>
      <x v="1"/>
    </i>
    <i>
      <x v="4"/>
      <x v="3"/>
    </i>
    <i>
      <x v="5"/>
      <x v="5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1" hier="-1"/>
  </pageFields>
  <dataFields count="1">
    <dataField name="Suma de Movimien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9BBD-208C-4198-8A73-685EB4369D8F}">
  <dimension ref="A1:Q90"/>
  <sheetViews>
    <sheetView showGridLines="0" tabSelected="1" zoomScale="119" zoomScaleNormal="75" workbookViewId="0">
      <selection activeCell="C11" sqref="C11"/>
    </sheetView>
  </sheetViews>
  <sheetFormatPr baseColWidth="10" defaultRowHeight="14.5" x14ac:dyDescent="0.35"/>
  <cols>
    <col min="1" max="1" width="6.36328125" customWidth="1"/>
    <col min="3" max="3" width="44.6328125" bestFit="1" customWidth="1"/>
    <col min="4" max="13" width="13.7265625" customWidth="1"/>
    <col min="14" max="14" width="12.7265625" bestFit="1" customWidth="1"/>
    <col min="15" max="15" width="18.90625" customWidth="1"/>
    <col min="16" max="16" width="16.26953125" bestFit="1" customWidth="1"/>
    <col min="17" max="17" width="15" bestFit="1" customWidth="1"/>
  </cols>
  <sheetData>
    <row r="1" spans="2:17" s="4" customFormat="1" ht="12.5" x14ac:dyDescent="0.25"/>
    <row r="2" spans="2:17" s="4" customFormat="1" ht="12.5" x14ac:dyDescent="0.25"/>
    <row r="3" spans="2:17" s="4" customFormat="1" ht="12.5" x14ac:dyDescent="0.25">
      <c r="O3" s="90" t="s">
        <v>0</v>
      </c>
      <c r="P3" s="90" t="s">
        <v>1</v>
      </c>
      <c r="Q3" s="91" t="s">
        <v>788</v>
      </c>
    </row>
    <row r="4" spans="2:17" s="4" customFormat="1" ht="12.5" x14ac:dyDescent="0.25">
      <c r="O4" s="29" t="s">
        <v>802</v>
      </c>
      <c r="P4" s="30" t="s">
        <v>802</v>
      </c>
      <c r="Q4" s="53" t="s">
        <v>832</v>
      </c>
    </row>
    <row r="5" spans="2:17" s="4" customFormat="1" ht="12.5" x14ac:dyDescent="0.25">
      <c r="H5" s="8"/>
      <c r="I5" s="9"/>
      <c r="J5" s="8"/>
      <c r="K5" s="10"/>
      <c r="Q5" s="62"/>
    </row>
    <row r="6" spans="2:17" s="4" customFormat="1" ht="12.5" x14ac:dyDescent="0.25">
      <c r="B6" s="54" t="s">
        <v>787</v>
      </c>
    </row>
    <row r="7" spans="2:17" s="4" customFormat="1" ht="12.5" x14ac:dyDescent="0.25">
      <c r="B7" s="55" t="s">
        <v>820</v>
      </c>
    </row>
    <row r="8" spans="2:17" s="4" customFormat="1" ht="12.5" x14ac:dyDescent="0.25">
      <c r="B8" s="55" t="s">
        <v>796</v>
      </c>
    </row>
    <row r="9" spans="2:17" s="4" customFormat="1" ht="12.5" x14ac:dyDescent="0.25">
      <c r="B9" s="55" t="s">
        <v>809</v>
      </c>
    </row>
    <row r="10" spans="2:17" s="4" customFormat="1" ht="6" customHeight="1" thickBot="1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2:17" s="4" customFormat="1" ht="13" thickTop="1" x14ac:dyDescent="0.25"/>
    <row r="12" spans="2:17" s="4" customFormat="1" ht="12.5" x14ac:dyDescent="0.25">
      <c r="B12" s="48" t="s">
        <v>36</v>
      </c>
    </row>
    <row r="13" spans="2:17" s="4" customFormat="1" ht="7.5" customHeight="1" x14ac:dyDescent="0.25">
      <c r="B13" s="48"/>
    </row>
    <row r="14" spans="2:17" s="4" customFormat="1" ht="12.5" x14ac:dyDescent="0.25">
      <c r="B14" s="65" t="s">
        <v>821</v>
      </c>
      <c r="F14" s="12"/>
      <c r="G14" s="12"/>
      <c r="H14" s="12"/>
      <c r="I14" s="12"/>
    </row>
    <row r="15" spans="2:17" s="4" customFormat="1" ht="12.5" x14ac:dyDescent="0.25">
      <c r="B15" s="31"/>
      <c r="F15" s="12"/>
      <c r="G15" s="12"/>
      <c r="H15" s="12"/>
      <c r="I15" s="12"/>
    </row>
    <row r="16" spans="2:17" s="4" customFormat="1" ht="12.5" x14ac:dyDescent="0.25">
      <c r="B16" s="56" t="s">
        <v>790</v>
      </c>
      <c r="C16" s="51"/>
      <c r="F16" s="12"/>
      <c r="G16" s="12"/>
      <c r="H16" s="12"/>
      <c r="I16" s="12"/>
    </row>
    <row r="17" spans="1:9" s="4" customFormat="1" ht="6" customHeight="1" x14ac:dyDescent="0.25">
      <c r="B17" s="31"/>
      <c r="C17" s="51"/>
      <c r="F17" s="12"/>
      <c r="G17" s="12"/>
      <c r="H17" s="12"/>
      <c r="I17" s="12"/>
    </row>
    <row r="18" spans="1:9" s="4" customFormat="1" ht="12.5" x14ac:dyDescent="0.25">
      <c r="B18" s="31"/>
      <c r="C18" s="87" t="s">
        <v>797</v>
      </c>
      <c r="D18" s="87" t="s">
        <v>798</v>
      </c>
      <c r="F18" s="12"/>
      <c r="G18" s="12"/>
      <c r="H18" s="12"/>
      <c r="I18" s="12"/>
    </row>
    <row r="19" spans="1:9" s="4" customFormat="1" ht="12.5" x14ac:dyDescent="0.25">
      <c r="B19" s="88" t="s">
        <v>791</v>
      </c>
      <c r="C19" s="52" t="s">
        <v>799</v>
      </c>
      <c r="D19" s="52" t="s">
        <v>799</v>
      </c>
      <c r="F19" s="12"/>
      <c r="G19" s="12"/>
      <c r="H19" s="12"/>
      <c r="I19" s="12"/>
    </row>
    <row r="20" spans="1:9" s="4" customFormat="1" ht="12.5" x14ac:dyDescent="0.25">
      <c r="B20" s="88" t="s">
        <v>792</v>
      </c>
      <c r="C20" s="52" t="s">
        <v>799</v>
      </c>
      <c r="D20" s="52" t="s">
        <v>799</v>
      </c>
      <c r="F20" s="12"/>
      <c r="G20" s="12"/>
      <c r="H20" s="12"/>
      <c r="I20" s="12"/>
    </row>
    <row r="21" spans="1:9" s="4" customFormat="1" ht="12.5" x14ac:dyDescent="0.25">
      <c r="B21" s="88" t="s">
        <v>793</v>
      </c>
      <c r="C21" s="52" t="s">
        <v>799</v>
      </c>
      <c r="D21" s="52" t="s">
        <v>799</v>
      </c>
      <c r="F21" s="12"/>
      <c r="G21" s="12"/>
      <c r="H21" s="12"/>
      <c r="I21" s="12"/>
    </row>
    <row r="22" spans="1:9" s="4" customFormat="1" ht="12.5" x14ac:dyDescent="0.25">
      <c r="B22" s="31"/>
      <c r="F22" s="12"/>
      <c r="G22" s="12"/>
      <c r="H22" s="12"/>
      <c r="I22" s="12"/>
    </row>
    <row r="23" spans="1:9" s="4" customFormat="1" ht="12.5" x14ac:dyDescent="0.25">
      <c r="B23" s="48" t="s">
        <v>37</v>
      </c>
      <c r="F23" s="13"/>
      <c r="G23" s="13"/>
      <c r="H23" s="15"/>
      <c r="I23" s="14"/>
    </row>
    <row r="24" spans="1:9" s="4" customFormat="1" ht="5" customHeight="1" x14ac:dyDescent="0.25">
      <c r="B24" s="48"/>
      <c r="F24" s="13"/>
      <c r="G24" s="13"/>
      <c r="H24" s="15"/>
      <c r="I24" s="14"/>
    </row>
    <row r="25" spans="1:9" s="4" customFormat="1" ht="12.5" x14ac:dyDescent="0.25">
      <c r="A25" s="89" t="s">
        <v>814</v>
      </c>
      <c r="B25" s="64" t="s">
        <v>818</v>
      </c>
      <c r="F25" s="15"/>
      <c r="G25" s="14"/>
      <c r="H25" s="14"/>
    </row>
    <row r="26" spans="1:9" s="4" customFormat="1" ht="12.5" x14ac:dyDescent="0.25">
      <c r="A26" s="89" t="s">
        <v>815</v>
      </c>
      <c r="B26" s="66" t="s">
        <v>822</v>
      </c>
      <c r="F26" s="15"/>
      <c r="G26" s="14"/>
      <c r="H26" s="14"/>
    </row>
    <row r="27" spans="1:9" s="4" customFormat="1" ht="12.5" x14ac:dyDescent="0.25">
      <c r="A27" s="89" t="s">
        <v>816</v>
      </c>
      <c r="B27" s="65" t="s">
        <v>823</v>
      </c>
      <c r="F27" s="15"/>
      <c r="G27" s="14"/>
      <c r="H27" s="14"/>
    </row>
    <row r="28" spans="1:9" s="4" customFormat="1" ht="12.5" x14ac:dyDescent="0.25">
      <c r="A28" s="89" t="s">
        <v>817</v>
      </c>
      <c r="B28" s="5" t="s">
        <v>824</v>
      </c>
      <c r="F28" s="15"/>
      <c r="G28" s="14"/>
      <c r="H28" s="14"/>
    </row>
    <row r="30" spans="1:9" s="4" customFormat="1" ht="12.5" x14ac:dyDescent="0.25">
      <c r="B30" s="48" t="s">
        <v>819</v>
      </c>
      <c r="F30" s="13"/>
      <c r="G30" s="13"/>
      <c r="H30" s="15"/>
      <c r="I30" s="14"/>
    </row>
    <row r="31" spans="1:9" s="4" customFormat="1" ht="5" customHeight="1" x14ac:dyDescent="0.25">
      <c r="B31" s="48"/>
      <c r="F31" s="13"/>
      <c r="G31" s="13"/>
      <c r="H31" s="15"/>
      <c r="I31" s="14"/>
    </row>
    <row r="32" spans="1:9" x14ac:dyDescent="0.35">
      <c r="B32" s="57" t="s">
        <v>35</v>
      </c>
    </row>
    <row r="33" spans="1:17" x14ac:dyDescent="0.35">
      <c r="B33" s="57"/>
    </row>
    <row r="35" spans="1:17" x14ac:dyDescent="0.35">
      <c r="A35" s="75"/>
      <c r="B35" s="99" t="s">
        <v>825</v>
      </c>
      <c r="C35" s="99" t="s">
        <v>826</v>
      </c>
      <c r="D35" s="100" t="s">
        <v>833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</row>
    <row r="36" spans="1:17" x14ac:dyDescent="0.35">
      <c r="A36" s="75"/>
      <c r="B36" s="99"/>
      <c r="C36" s="99"/>
      <c r="D36" s="73" t="s">
        <v>11</v>
      </c>
      <c r="E36" s="73" t="s">
        <v>12</v>
      </c>
      <c r="F36" s="73" t="s">
        <v>13</v>
      </c>
      <c r="G36" s="73" t="s">
        <v>14</v>
      </c>
      <c r="H36" s="73" t="s">
        <v>15</v>
      </c>
      <c r="I36" s="73" t="s">
        <v>16</v>
      </c>
      <c r="J36" s="73" t="s">
        <v>17</v>
      </c>
      <c r="K36" s="73" t="s">
        <v>18</v>
      </c>
      <c r="L36" s="73" t="s">
        <v>19</v>
      </c>
      <c r="M36" s="73" t="s">
        <v>20</v>
      </c>
      <c r="N36" s="73" t="s">
        <v>21</v>
      </c>
      <c r="O36" s="73" t="s">
        <v>22</v>
      </c>
      <c r="P36" s="99" t="s">
        <v>28</v>
      </c>
      <c r="Q36" s="99" t="s">
        <v>788</v>
      </c>
    </row>
    <row r="37" spans="1:17" x14ac:dyDescent="0.35">
      <c r="A37" s="75"/>
      <c r="B37" s="99"/>
      <c r="C37" s="99"/>
      <c r="D37" s="74" t="s">
        <v>4</v>
      </c>
      <c r="E37" s="74" t="s">
        <v>5</v>
      </c>
      <c r="F37" s="74" t="s">
        <v>6</v>
      </c>
      <c r="G37" s="74" t="s">
        <v>7</v>
      </c>
      <c r="H37" s="74" t="s">
        <v>8</v>
      </c>
      <c r="I37" s="74" t="s">
        <v>9</v>
      </c>
      <c r="J37" s="74" t="s">
        <v>29</v>
      </c>
      <c r="K37" s="74" t="s">
        <v>10</v>
      </c>
      <c r="L37" s="74" t="s">
        <v>24</v>
      </c>
      <c r="M37" s="74" t="s">
        <v>25</v>
      </c>
      <c r="N37" s="74" t="s">
        <v>26</v>
      </c>
      <c r="O37" s="74" t="s">
        <v>27</v>
      </c>
      <c r="P37" s="99"/>
      <c r="Q37" s="99"/>
    </row>
    <row r="38" spans="1:17" x14ac:dyDescent="0.35">
      <c r="B38" s="76"/>
      <c r="C38" s="71"/>
      <c r="D38" s="69"/>
      <c r="E38" s="69"/>
      <c r="F38" s="69"/>
      <c r="G38" s="70"/>
      <c r="H38" s="69"/>
      <c r="I38" s="69"/>
      <c r="J38" s="69"/>
      <c r="K38" s="69"/>
      <c r="L38" s="69"/>
      <c r="M38" s="69"/>
      <c r="N38" s="69"/>
      <c r="O38" s="69"/>
      <c r="P38" s="69">
        <f t="shared" ref="P38:P44" si="0">+SUM(D38:O38)</f>
        <v>0</v>
      </c>
      <c r="Q38" s="96" t="s">
        <v>827</v>
      </c>
    </row>
    <row r="39" spans="1:17" x14ac:dyDescent="0.35">
      <c r="B39" s="76"/>
      <c r="C39" s="71"/>
      <c r="D39" s="69"/>
      <c r="E39" s="69"/>
      <c r="F39" s="69"/>
      <c r="G39" s="70"/>
      <c r="H39" s="69"/>
      <c r="I39" s="69"/>
      <c r="J39" s="69"/>
      <c r="K39" s="69"/>
      <c r="L39" s="69"/>
      <c r="M39" s="69"/>
      <c r="N39" s="69"/>
      <c r="O39" s="69"/>
      <c r="P39" s="69">
        <f t="shared" si="0"/>
        <v>0</v>
      </c>
      <c r="Q39" s="96" t="s">
        <v>827</v>
      </c>
    </row>
    <row r="40" spans="1:17" x14ac:dyDescent="0.35">
      <c r="B40" s="76"/>
      <c r="C40" s="71"/>
      <c r="D40" s="69"/>
      <c r="E40" s="69"/>
      <c r="F40" s="69"/>
      <c r="G40" s="70"/>
      <c r="H40" s="69"/>
      <c r="I40" s="69"/>
      <c r="J40" s="69"/>
      <c r="K40" s="69"/>
      <c r="L40" s="69"/>
      <c r="M40" s="69"/>
      <c r="N40" s="69"/>
      <c r="O40" s="69"/>
      <c r="P40" s="69">
        <f t="shared" si="0"/>
        <v>0</v>
      </c>
      <c r="Q40" s="96" t="s">
        <v>827</v>
      </c>
    </row>
    <row r="41" spans="1:17" x14ac:dyDescent="0.35">
      <c r="B41" s="76"/>
      <c r="C41" s="71"/>
      <c r="D41" s="69"/>
      <c r="E41" s="69"/>
      <c r="F41" s="69"/>
      <c r="G41" s="70"/>
      <c r="H41" s="69"/>
      <c r="I41" s="69"/>
      <c r="J41" s="69"/>
      <c r="K41" s="69"/>
      <c r="L41" s="69"/>
      <c r="M41" s="69"/>
      <c r="N41" s="69"/>
      <c r="O41" s="69"/>
      <c r="P41" s="69">
        <f t="shared" si="0"/>
        <v>0</v>
      </c>
      <c r="Q41" s="96" t="s">
        <v>827</v>
      </c>
    </row>
    <row r="42" spans="1:17" x14ac:dyDescent="0.35">
      <c r="B42" s="76"/>
      <c r="C42" s="71"/>
      <c r="D42" s="69"/>
      <c r="E42" s="69"/>
      <c r="F42" s="69"/>
      <c r="G42" s="70"/>
      <c r="H42" s="69"/>
      <c r="I42" s="69"/>
      <c r="J42" s="69"/>
      <c r="K42" s="69"/>
      <c r="L42" s="69"/>
      <c r="M42" s="69"/>
      <c r="N42" s="69"/>
      <c r="O42" s="69"/>
      <c r="P42" s="69">
        <f t="shared" si="0"/>
        <v>0</v>
      </c>
      <c r="Q42" s="96" t="s">
        <v>827</v>
      </c>
    </row>
    <row r="43" spans="1:17" x14ac:dyDescent="0.35">
      <c r="B43" s="76"/>
      <c r="C43" s="71"/>
      <c r="D43" s="69"/>
      <c r="E43" s="69"/>
      <c r="F43" s="69"/>
      <c r="G43" s="70"/>
      <c r="H43" s="69"/>
      <c r="I43" s="69"/>
      <c r="J43" s="69"/>
      <c r="K43" s="69"/>
      <c r="L43" s="69"/>
      <c r="M43" s="69"/>
      <c r="N43" s="69"/>
      <c r="O43" s="69"/>
      <c r="P43" s="69">
        <f t="shared" si="0"/>
        <v>0</v>
      </c>
      <c r="Q43" s="96" t="s">
        <v>827</v>
      </c>
    </row>
    <row r="44" spans="1:17" x14ac:dyDescent="0.35">
      <c r="B44" s="71"/>
      <c r="C44" s="71"/>
      <c r="D44" s="69"/>
      <c r="E44" s="69"/>
      <c r="F44" s="69"/>
      <c r="G44" s="70"/>
      <c r="H44" s="69"/>
      <c r="I44" s="69"/>
      <c r="J44" s="69"/>
      <c r="K44" s="69"/>
      <c r="L44" s="69"/>
      <c r="M44" s="69"/>
      <c r="N44" s="69">
        <v>0</v>
      </c>
      <c r="O44" s="69">
        <v>0</v>
      </c>
      <c r="P44" s="69">
        <f t="shared" si="0"/>
        <v>0</v>
      </c>
      <c r="Q44" s="72"/>
    </row>
    <row r="45" spans="1:17" ht="42" customHeight="1" thickBot="1" x14ac:dyDescent="0.4">
      <c r="B45" s="101"/>
      <c r="C45" s="101"/>
      <c r="D45" s="67">
        <f>+SUM(D38:D44)</f>
        <v>0</v>
      </c>
      <c r="E45" s="67">
        <f t="shared" ref="E45:M45" si="1">+SUM(E38:E44)</f>
        <v>0</v>
      </c>
      <c r="F45" s="67">
        <f t="shared" si="1"/>
        <v>0</v>
      </c>
      <c r="G45" s="67">
        <f t="shared" si="1"/>
        <v>0</v>
      </c>
      <c r="H45" s="67">
        <f t="shared" si="1"/>
        <v>0</v>
      </c>
      <c r="I45" s="67">
        <f t="shared" si="1"/>
        <v>0</v>
      </c>
      <c r="J45" s="67">
        <f t="shared" si="1"/>
        <v>0</v>
      </c>
      <c r="K45" s="67">
        <f t="shared" si="1"/>
        <v>0</v>
      </c>
      <c r="L45" s="67">
        <f t="shared" si="1"/>
        <v>0</v>
      </c>
      <c r="M45" s="67">
        <f t="shared" si="1"/>
        <v>0</v>
      </c>
      <c r="N45" s="67">
        <f>+SUM(N38:N44)</f>
        <v>0</v>
      </c>
      <c r="O45" s="67">
        <f>+SUM(O38:O44)</f>
        <v>0</v>
      </c>
      <c r="P45" s="67">
        <f>+SUM(P38:P44)</f>
        <v>0</v>
      </c>
      <c r="Q45" s="68"/>
    </row>
    <row r="46" spans="1:17" ht="15" thickTop="1" x14ac:dyDescent="0.35">
      <c r="B46" s="97"/>
      <c r="C46" s="97"/>
      <c r="D46" s="43"/>
      <c r="E46" s="43"/>
      <c r="F46" s="43"/>
      <c r="G46" s="43"/>
      <c r="H46" s="43"/>
      <c r="I46" s="43"/>
      <c r="J46" s="43"/>
      <c r="K46" s="43"/>
      <c r="L46" s="43"/>
      <c r="M46" s="44"/>
      <c r="N46" s="43"/>
      <c r="O46" s="43"/>
      <c r="P46" s="43"/>
      <c r="Q46" s="6"/>
    </row>
    <row r="47" spans="1:17" ht="53.25" customHeight="1" x14ac:dyDescent="0.35">
      <c r="B47" s="102" t="s">
        <v>800</v>
      </c>
      <c r="C47" s="102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6">
        <f>+SUM(D47:O47)</f>
        <v>0</v>
      </c>
      <c r="Q47" s="7"/>
    </row>
    <row r="48" spans="1:17" ht="15" thickBot="1" x14ac:dyDescent="0.4">
      <c r="B48" s="98" t="s">
        <v>23</v>
      </c>
      <c r="C48" s="98"/>
      <c r="D48" s="58">
        <f>+SUM(D45:D47)</f>
        <v>0</v>
      </c>
      <c r="E48" s="58">
        <f>+SUM(E45:E47)</f>
        <v>0</v>
      </c>
      <c r="F48" s="58">
        <f t="shared" ref="F48:L48" si="2">+SUM(F45:F47)</f>
        <v>0</v>
      </c>
      <c r="G48" s="58">
        <f t="shared" si="2"/>
        <v>0</v>
      </c>
      <c r="H48" s="58">
        <f t="shared" si="2"/>
        <v>0</v>
      </c>
      <c r="I48" s="58">
        <f t="shared" si="2"/>
        <v>0</v>
      </c>
      <c r="J48" s="58">
        <f t="shared" si="2"/>
        <v>0</v>
      </c>
      <c r="K48" s="58">
        <f t="shared" si="2"/>
        <v>0</v>
      </c>
      <c r="L48" s="58">
        <f t="shared" si="2"/>
        <v>0</v>
      </c>
      <c r="M48" s="58">
        <f>+SUM(M45:M47)</f>
        <v>0</v>
      </c>
      <c r="N48" s="58">
        <f>+SUM(N45:N47)</f>
        <v>0</v>
      </c>
      <c r="O48" s="58">
        <f>+SUM(O45:O47)</f>
        <v>0</v>
      </c>
      <c r="P48" s="58">
        <f>+P45+P47</f>
        <v>0</v>
      </c>
      <c r="Q48" s="59"/>
    </row>
    <row r="49" spans="2:6" ht="15" thickTop="1" x14ac:dyDescent="0.35"/>
    <row r="51" spans="2:6" x14ac:dyDescent="0.35">
      <c r="B51" s="77" t="s">
        <v>828</v>
      </c>
      <c r="C51" s="78"/>
      <c r="D51" s="78"/>
      <c r="E51" s="79"/>
      <c r="F51" s="80"/>
    </row>
    <row r="52" spans="2:6" s="93" customFormat="1" x14ac:dyDescent="0.35">
      <c r="B52" s="94"/>
      <c r="C52" s="94"/>
      <c r="D52" s="94"/>
      <c r="E52" s="95"/>
      <c r="F52" s="95"/>
    </row>
    <row r="53" spans="2:6" x14ac:dyDescent="0.35">
      <c r="B53" s="12" t="s">
        <v>835</v>
      </c>
      <c r="C53" s="65"/>
      <c r="D53" s="65"/>
      <c r="E53" s="65"/>
      <c r="F53" s="65"/>
    </row>
    <row r="54" spans="2:6" x14ac:dyDescent="0.35">
      <c r="B54" s="92"/>
      <c r="C54" s="65"/>
      <c r="D54" s="65"/>
      <c r="E54" s="65"/>
      <c r="F54" s="65"/>
    </row>
    <row r="55" spans="2:6" ht="37.5" x14ac:dyDescent="0.35">
      <c r="B55" s="81" t="s">
        <v>825</v>
      </c>
      <c r="C55" s="81" t="s">
        <v>826</v>
      </c>
      <c r="D55" s="81" t="s">
        <v>836</v>
      </c>
      <c r="E55" s="81" t="s">
        <v>834</v>
      </c>
      <c r="F55" s="81" t="s">
        <v>829</v>
      </c>
    </row>
    <row r="56" spans="2:6" x14ac:dyDescent="0.35">
      <c r="B56" s="82"/>
      <c r="C56" s="82"/>
      <c r="D56" s="83"/>
      <c r="E56" s="83">
        <f>+O38</f>
        <v>0</v>
      </c>
      <c r="F56" s="83">
        <f>+D56-E56</f>
        <v>0</v>
      </c>
    </row>
    <row r="57" spans="2:6" x14ac:dyDescent="0.35">
      <c r="B57" s="82"/>
      <c r="C57" s="82"/>
      <c r="D57" s="83"/>
      <c r="E57" s="83">
        <f>+O39</f>
        <v>0</v>
      </c>
      <c r="F57" s="83">
        <f>+D57-E57</f>
        <v>0</v>
      </c>
    </row>
    <row r="58" spans="2:6" x14ac:dyDescent="0.35">
      <c r="B58" s="82"/>
      <c r="C58" s="82"/>
      <c r="D58" s="83"/>
      <c r="E58" s="83">
        <f>+O40</f>
        <v>0</v>
      </c>
      <c r="F58" s="83">
        <f>+D58-E58</f>
        <v>0</v>
      </c>
    </row>
    <row r="59" spans="2:6" ht="7" customHeight="1" x14ac:dyDescent="0.35">
      <c r="B59" s="65"/>
      <c r="C59" s="65"/>
      <c r="D59" s="65"/>
      <c r="E59" s="65"/>
      <c r="F59" s="65"/>
    </row>
    <row r="60" spans="2:6" ht="15" thickBot="1" x14ac:dyDescent="0.4">
      <c r="B60" s="65"/>
      <c r="C60" s="65"/>
      <c r="D60" s="84"/>
      <c r="E60" s="65"/>
      <c r="F60" s="85">
        <f>+SUM(F56:F58)</f>
        <v>0</v>
      </c>
    </row>
    <row r="61" spans="2:6" ht="15" thickTop="1" x14ac:dyDescent="0.35"/>
    <row r="63" spans="2:6" x14ac:dyDescent="0.35">
      <c r="B63" s="49" t="s">
        <v>34</v>
      </c>
      <c r="C63" s="4"/>
    </row>
    <row r="64" spans="2:6" ht="6" customHeight="1" x14ac:dyDescent="0.35">
      <c r="B64" s="49"/>
      <c r="C64" s="4"/>
    </row>
    <row r="65" spans="1:3" x14ac:dyDescent="0.35">
      <c r="B65" s="65" t="s">
        <v>801</v>
      </c>
      <c r="C65" s="4"/>
    </row>
    <row r="66" spans="1:3" x14ac:dyDescent="0.35">
      <c r="B66" s="61" t="s">
        <v>831</v>
      </c>
      <c r="C66" s="32"/>
    </row>
    <row r="67" spans="1:3" x14ac:dyDescent="0.35">
      <c r="B67" s="61" t="s">
        <v>794</v>
      </c>
      <c r="C67" s="3"/>
    </row>
    <row r="68" spans="1:3" x14ac:dyDescent="0.35">
      <c r="B68" s="62"/>
    </row>
    <row r="69" spans="1:3" x14ac:dyDescent="0.35">
      <c r="A69" s="62"/>
      <c r="B69" s="50" t="s">
        <v>810</v>
      </c>
      <c r="C69" s="62"/>
    </row>
    <row r="70" spans="1:3" ht="6" customHeight="1" x14ac:dyDescent="0.35">
      <c r="A70" s="62"/>
      <c r="B70" s="49"/>
      <c r="C70" s="62"/>
    </row>
    <row r="71" spans="1:3" x14ac:dyDescent="0.35">
      <c r="A71" s="63" t="s">
        <v>811</v>
      </c>
      <c r="B71" s="60"/>
      <c r="C71" s="62"/>
    </row>
    <row r="72" spans="1:3" x14ac:dyDescent="0.35">
      <c r="A72" s="63" t="s">
        <v>812</v>
      </c>
      <c r="B72" s="60"/>
      <c r="C72" s="62"/>
    </row>
    <row r="73" spans="1:3" x14ac:dyDescent="0.35">
      <c r="A73" s="63" t="s">
        <v>813</v>
      </c>
      <c r="B73" s="60"/>
      <c r="C73" s="62"/>
    </row>
    <row r="74" spans="1:3" x14ac:dyDescent="0.35">
      <c r="A74" s="62"/>
      <c r="B74" s="62"/>
      <c r="C74" s="62"/>
    </row>
    <row r="75" spans="1:3" x14ac:dyDescent="0.35">
      <c r="A75" s="62"/>
      <c r="B75" s="50" t="s">
        <v>789</v>
      </c>
      <c r="C75" s="62"/>
    </row>
    <row r="76" spans="1:3" ht="6" customHeight="1" x14ac:dyDescent="0.35">
      <c r="A76" s="62"/>
      <c r="B76" s="49"/>
      <c r="C76" s="62"/>
    </row>
    <row r="77" spans="1:3" x14ac:dyDescent="0.35">
      <c r="A77" s="63" t="s">
        <v>803</v>
      </c>
      <c r="B77" s="60"/>
      <c r="C77" s="62"/>
    </row>
    <row r="78" spans="1:3" x14ac:dyDescent="0.35">
      <c r="A78" s="63" t="s">
        <v>804</v>
      </c>
      <c r="B78" s="60"/>
      <c r="C78" s="62"/>
    </row>
    <row r="79" spans="1:3" x14ac:dyDescent="0.35">
      <c r="A79" s="63" t="s">
        <v>805</v>
      </c>
      <c r="B79" s="60"/>
      <c r="C79" s="62"/>
    </row>
    <row r="80" spans="1:3" x14ac:dyDescent="0.35">
      <c r="A80" s="62"/>
      <c r="B80" s="62"/>
      <c r="C80" s="62"/>
    </row>
    <row r="81" spans="1:3" x14ac:dyDescent="0.35">
      <c r="A81" s="62"/>
      <c r="B81" s="56" t="s">
        <v>795</v>
      </c>
      <c r="C81" s="62"/>
    </row>
    <row r="82" spans="1:3" ht="6" customHeight="1" x14ac:dyDescent="0.35">
      <c r="A82" s="62"/>
      <c r="B82" s="49"/>
      <c r="C82" s="62"/>
    </row>
    <row r="83" spans="1:3" x14ac:dyDescent="0.35">
      <c r="A83" s="63" t="s">
        <v>806</v>
      </c>
      <c r="B83" s="60"/>
      <c r="C83" s="62"/>
    </row>
    <row r="84" spans="1:3" x14ac:dyDescent="0.35">
      <c r="A84" s="63" t="s">
        <v>807</v>
      </c>
      <c r="B84" s="60"/>
      <c r="C84" s="62"/>
    </row>
    <row r="85" spans="1:3" x14ac:dyDescent="0.35">
      <c r="A85" s="63" t="s">
        <v>808</v>
      </c>
      <c r="B85" s="60"/>
      <c r="C85" s="62"/>
    </row>
    <row r="86" spans="1:3" x14ac:dyDescent="0.35">
      <c r="B86" s="50"/>
    </row>
    <row r="87" spans="1:3" x14ac:dyDescent="0.35">
      <c r="B87" s="50" t="s">
        <v>172</v>
      </c>
    </row>
    <row r="88" spans="1:3" ht="6" customHeight="1" x14ac:dyDescent="0.35">
      <c r="A88" s="62"/>
      <c r="B88" s="49"/>
      <c r="C88" s="62"/>
    </row>
    <row r="89" spans="1:3" x14ac:dyDescent="0.35">
      <c r="A89" s="63"/>
      <c r="B89" s="86" t="s">
        <v>830</v>
      </c>
      <c r="C89" s="62"/>
    </row>
    <row r="90" spans="1:3" x14ac:dyDescent="0.35">
      <c r="B90" s="32"/>
    </row>
  </sheetData>
  <mergeCells count="8">
    <mergeCell ref="B48:C48"/>
    <mergeCell ref="B35:B37"/>
    <mergeCell ref="C35:C37"/>
    <mergeCell ref="D35:Q35"/>
    <mergeCell ref="Q36:Q37"/>
    <mergeCell ref="P36:P37"/>
    <mergeCell ref="B45:C45"/>
    <mergeCell ref="B47:C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7D22-B9E4-422B-A4B1-AC40721B6D26}">
  <dimension ref="A1:O688"/>
  <sheetViews>
    <sheetView showGridLines="0" zoomScale="80" zoomScaleNormal="80" workbookViewId="0">
      <pane ySplit="1" topLeftCell="A657" activePane="bottomLeft" state="frozen"/>
      <selection activeCell="B683" sqref="B683"/>
      <selection pane="bottomLeft" activeCell="B683" sqref="B683"/>
    </sheetView>
  </sheetViews>
  <sheetFormatPr baseColWidth="10" defaultColWidth="11.36328125" defaultRowHeight="12.5" x14ac:dyDescent="0.25"/>
  <cols>
    <col min="1" max="1" width="11.36328125" style="4"/>
    <col min="2" max="2" width="12.90625" style="4" bestFit="1" customWidth="1"/>
    <col min="3" max="3" width="53.36328125" style="4" bestFit="1" customWidth="1"/>
    <col min="4" max="9" width="10.6328125" style="4" bestFit="1" customWidth="1"/>
    <col min="10" max="10" width="13.6328125" style="4" customWidth="1"/>
    <col min="11" max="13" width="10.6328125" style="4" bestFit="1" customWidth="1"/>
    <col min="14" max="15" width="12.90625" style="4" bestFit="1" customWidth="1"/>
    <col min="16" max="16384" width="11.36328125" style="4"/>
  </cols>
  <sheetData>
    <row r="1" spans="1:10" x14ac:dyDescent="0.25">
      <c r="A1" s="19" t="s">
        <v>38</v>
      </c>
      <c r="B1" s="19" t="s">
        <v>30</v>
      </c>
      <c r="C1" s="20" t="s">
        <v>2</v>
      </c>
      <c r="D1" s="20" t="s">
        <v>198</v>
      </c>
      <c r="E1" s="21" t="s">
        <v>31</v>
      </c>
      <c r="F1" s="19" t="s">
        <v>39</v>
      </c>
      <c r="G1" s="22" t="s">
        <v>40</v>
      </c>
      <c r="H1" s="23" t="s">
        <v>41</v>
      </c>
      <c r="I1" s="23" t="s">
        <v>42</v>
      </c>
      <c r="J1" s="23" t="s">
        <v>33</v>
      </c>
    </row>
    <row r="2" spans="1:10" x14ac:dyDescent="0.25">
      <c r="A2" s="17">
        <v>201040204</v>
      </c>
      <c r="B2" s="24" t="s">
        <v>44</v>
      </c>
      <c r="C2" s="17">
        <v>2021</v>
      </c>
      <c r="D2" s="17">
        <v>1</v>
      </c>
      <c r="E2" s="17" t="s">
        <v>43</v>
      </c>
      <c r="F2" s="17"/>
      <c r="G2" s="17" t="s">
        <v>44</v>
      </c>
      <c r="H2" s="18"/>
      <c r="I2" s="18"/>
      <c r="J2" s="18">
        <v>0</v>
      </c>
    </row>
    <row r="3" spans="1:10" x14ac:dyDescent="0.25">
      <c r="A3" s="17">
        <v>201040204</v>
      </c>
      <c r="B3" s="24" t="s">
        <v>44</v>
      </c>
      <c r="C3" s="17" t="s">
        <v>46</v>
      </c>
      <c r="D3" s="17">
        <v>1</v>
      </c>
      <c r="E3" s="17" t="s">
        <v>46</v>
      </c>
      <c r="F3" s="17">
        <v>7942</v>
      </c>
      <c r="G3" s="17" t="s">
        <v>173</v>
      </c>
      <c r="H3" s="18"/>
      <c r="I3" s="18">
        <v>1.3</v>
      </c>
      <c r="J3" s="18">
        <v>-1.3</v>
      </c>
    </row>
    <row r="4" spans="1:10" x14ac:dyDescent="0.25">
      <c r="A4" s="17">
        <v>201040204</v>
      </c>
      <c r="B4" s="24" t="s">
        <v>44</v>
      </c>
      <c r="C4" s="17" t="s">
        <v>127</v>
      </c>
      <c r="D4" s="17">
        <v>1</v>
      </c>
      <c r="E4" s="17" t="s">
        <v>127</v>
      </c>
      <c r="F4" s="17">
        <v>8000</v>
      </c>
      <c r="G4" s="17" t="s">
        <v>174</v>
      </c>
      <c r="H4" s="18"/>
      <c r="I4" s="18">
        <v>2.04</v>
      </c>
      <c r="J4" s="18">
        <v>-2.04</v>
      </c>
    </row>
    <row r="5" spans="1:10" x14ac:dyDescent="0.25">
      <c r="A5" s="17">
        <v>201040204</v>
      </c>
      <c r="B5" s="24" t="s">
        <v>44</v>
      </c>
      <c r="C5" s="17" t="s">
        <v>175</v>
      </c>
      <c r="D5" s="17" t="str">
        <f t="shared" ref="D5:D22" si="0">+MID(C5,5,1)</f>
        <v>2</v>
      </c>
      <c r="E5" s="17" t="s">
        <v>175</v>
      </c>
      <c r="F5" s="17">
        <v>8059</v>
      </c>
      <c r="G5" s="17" t="s">
        <v>176</v>
      </c>
      <c r="H5" s="18"/>
      <c r="I5" s="18">
        <v>8.01</v>
      </c>
      <c r="J5" s="18">
        <v>-8.01</v>
      </c>
    </row>
    <row r="6" spans="1:10" x14ac:dyDescent="0.25">
      <c r="A6" s="17">
        <v>201040204</v>
      </c>
      <c r="B6" s="24" t="s">
        <v>44</v>
      </c>
      <c r="C6" s="17" t="s">
        <v>64</v>
      </c>
      <c r="D6" s="17" t="str">
        <f t="shared" si="0"/>
        <v>2</v>
      </c>
      <c r="E6" s="17" t="s">
        <v>64</v>
      </c>
      <c r="F6" s="17">
        <v>8093</v>
      </c>
      <c r="G6" s="17" t="s">
        <v>177</v>
      </c>
      <c r="H6" s="18"/>
      <c r="I6" s="18">
        <v>1.43</v>
      </c>
      <c r="J6" s="18">
        <v>-1.43</v>
      </c>
    </row>
    <row r="7" spans="1:10" x14ac:dyDescent="0.25">
      <c r="A7" s="17">
        <v>201040204</v>
      </c>
      <c r="B7" s="24" t="s">
        <v>44</v>
      </c>
      <c r="C7" s="17" t="s">
        <v>52</v>
      </c>
      <c r="D7" s="17" t="str">
        <f t="shared" si="0"/>
        <v>2</v>
      </c>
      <c r="E7" s="17" t="s">
        <v>52</v>
      </c>
      <c r="F7" s="17">
        <v>8312</v>
      </c>
      <c r="G7" s="17" t="s">
        <v>178</v>
      </c>
      <c r="H7" s="18">
        <v>3.34</v>
      </c>
      <c r="I7" s="18"/>
      <c r="J7" s="18">
        <v>3.34</v>
      </c>
    </row>
    <row r="8" spans="1:10" x14ac:dyDescent="0.25">
      <c r="A8" s="17">
        <v>201040204</v>
      </c>
      <c r="B8" s="24" t="s">
        <v>44</v>
      </c>
      <c r="C8" s="17" t="s">
        <v>102</v>
      </c>
      <c r="D8" s="17" t="str">
        <f t="shared" si="0"/>
        <v>3</v>
      </c>
      <c r="E8" s="17" t="s">
        <v>102</v>
      </c>
      <c r="F8" s="17">
        <v>8284</v>
      </c>
      <c r="G8" s="17" t="s">
        <v>179</v>
      </c>
      <c r="H8" s="18"/>
      <c r="I8" s="18">
        <v>4</v>
      </c>
      <c r="J8" s="18">
        <v>-4</v>
      </c>
    </row>
    <row r="9" spans="1:10" x14ac:dyDescent="0.25">
      <c r="A9" s="17">
        <v>201040204</v>
      </c>
      <c r="B9" s="24" t="s">
        <v>44</v>
      </c>
      <c r="C9" s="17" t="s">
        <v>69</v>
      </c>
      <c r="D9" s="17" t="str">
        <f t="shared" si="0"/>
        <v>3</v>
      </c>
      <c r="E9" s="17" t="s">
        <v>69</v>
      </c>
      <c r="F9" s="17">
        <v>8369</v>
      </c>
      <c r="G9" s="17" t="s">
        <v>180</v>
      </c>
      <c r="H9" s="18">
        <v>9.44</v>
      </c>
      <c r="I9" s="18"/>
      <c r="J9" s="18">
        <v>9.44</v>
      </c>
    </row>
    <row r="10" spans="1:10" x14ac:dyDescent="0.25">
      <c r="A10" s="17">
        <v>201040204</v>
      </c>
      <c r="B10" s="24" t="s">
        <v>44</v>
      </c>
      <c r="C10" s="17" t="s">
        <v>181</v>
      </c>
      <c r="D10" s="17" t="str">
        <f t="shared" si="0"/>
        <v>3</v>
      </c>
      <c r="E10" s="17" t="s">
        <v>181</v>
      </c>
      <c r="F10" s="17">
        <v>8294</v>
      </c>
      <c r="G10" s="17" t="s">
        <v>182</v>
      </c>
      <c r="H10" s="18"/>
      <c r="I10" s="18">
        <v>2.13</v>
      </c>
      <c r="J10" s="18">
        <v>-2.13</v>
      </c>
    </row>
    <row r="11" spans="1:10" x14ac:dyDescent="0.25">
      <c r="A11" s="17">
        <v>201040204</v>
      </c>
      <c r="B11" s="24" t="s">
        <v>44</v>
      </c>
      <c r="C11" s="17" t="s">
        <v>101</v>
      </c>
      <c r="D11" s="17" t="str">
        <f t="shared" si="0"/>
        <v>4</v>
      </c>
      <c r="E11" s="17" t="s">
        <v>101</v>
      </c>
      <c r="F11" s="17">
        <v>8416</v>
      </c>
      <c r="G11" s="17" t="s">
        <v>183</v>
      </c>
      <c r="H11" s="18"/>
      <c r="I11" s="18">
        <v>0.43</v>
      </c>
      <c r="J11" s="18">
        <v>-0.43</v>
      </c>
    </row>
    <row r="12" spans="1:10" x14ac:dyDescent="0.25">
      <c r="A12" s="17">
        <v>201040204</v>
      </c>
      <c r="B12" s="24" t="s">
        <v>44</v>
      </c>
      <c r="C12" s="17" t="s">
        <v>76</v>
      </c>
      <c r="D12" s="17" t="str">
        <f t="shared" si="0"/>
        <v>4</v>
      </c>
      <c r="E12" s="17" t="s">
        <v>76</v>
      </c>
      <c r="F12" s="17">
        <v>8378</v>
      </c>
      <c r="G12" s="17" t="s">
        <v>184</v>
      </c>
      <c r="H12" s="18"/>
      <c r="I12" s="18">
        <v>5.0999999999999996</v>
      </c>
      <c r="J12" s="18">
        <v>-5.0999999999999996</v>
      </c>
    </row>
    <row r="13" spans="1:10" x14ac:dyDescent="0.25">
      <c r="A13" s="17">
        <v>201040204</v>
      </c>
      <c r="B13" s="24" t="s">
        <v>44</v>
      </c>
      <c r="C13" s="17" t="s">
        <v>76</v>
      </c>
      <c r="D13" s="17" t="str">
        <f t="shared" si="0"/>
        <v>4</v>
      </c>
      <c r="E13" s="17" t="s">
        <v>76</v>
      </c>
      <c r="F13" s="17">
        <v>8379</v>
      </c>
      <c r="G13" s="17" t="s">
        <v>185</v>
      </c>
      <c r="H13" s="18"/>
      <c r="I13" s="18">
        <v>8.9600000000000009</v>
      </c>
      <c r="J13" s="18">
        <v>-8.9600000000000009</v>
      </c>
    </row>
    <row r="14" spans="1:10" x14ac:dyDescent="0.25">
      <c r="A14" s="17">
        <v>201040204</v>
      </c>
      <c r="B14" s="24" t="s">
        <v>44</v>
      </c>
      <c r="C14" s="17" t="s">
        <v>78</v>
      </c>
      <c r="D14" s="17" t="str">
        <f t="shared" si="0"/>
        <v>4</v>
      </c>
      <c r="E14" s="17" t="s">
        <v>78</v>
      </c>
      <c r="F14" s="17">
        <v>8572</v>
      </c>
      <c r="G14" s="17" t="s">
        <v>186</v>
      </c>
      <c r="H14" s="18">
        <v>6.13</v>
      </c>
      <c r="I14" s="18"/>
      <c r="J14" s="18">
        <v>6.13</v>
      </c>
    </row>
    <row r="15" spans="1:10" x14ac:dyDescent="0.25">
      <c r="A15" s="17">
        <v>201040204</v>
      </c>
      <c r="B15" s="24" t="s">
        <v>44</v>
      </c>
      <c r="C15" s="17" t="s">
        <v>86</v>
      </c>
      <c r="D15" s="17" t="str">
        <f t="shared" si="0"/>
        <v>5</v>
      </c>
      <c r="E15" s="17" t="s">
        <v>86</v>
      </c>
      <c r="F15" s="17">
        <v>8661</v>
      </c>
      <c r="G15" s="17" t="s">
        <v>187</v>
      </c>
      <c r="H15" s="18">
        <v>14.49</v>
      </c>
      <c r="I15" s="18"/>
      <c r="J15" s="18">
        <v>14.49</v>
      </c>
    </row>
    <row r="16" spans="1:10" x14ac:dyDescent="0.25">
      <c r="A16" s="17">
        <v>201040204</v>
      </c>
      <c r="B16" s="24" t="s">
        <v>44</v>
      </c>
      <c r="C16" s="17" t="s">
        <v>134</v>
      </c>
      <c r="D16" s="17" t="str">
        <f t="shared" si="0"/>
        <v>7</v>
      </c>
      <c r="E16" s="17" t="s">
        <v>134</v>
      </c>
      <c r="F16" s="17">
        <v>8799</v>
      </c>
      <c r="G16" s="17" t="s">
        <v>188</v>
      </c>
      <c r="H16" s="18"/>
      <c r="I16" s="18">
        <v>2.0699999999999998</v>
      </c>
      <c r="J16" s="18">
        <v>-2.0699999999999998</v>
      </c>
    </row>
    <row r="17" spans="1:10" x14ac:dyDescent="0.25">
      <c r="A17" s="17">
        <v>201040204</v>
      </c>
      <c r="B17" s="24" t="s">
        <v>44</v>
      </c>
      <c r="C17" s="17" t="s">
        <v>134</v>
      </c>
      <c r="D17" s="17" t="str">
        <f t="shared" si="0"/>
        <v>7</v>
      </c>
      <c r="E17" s="17" t="s">
        <v>134</v>
      </c>
      <c r="F17" s="17">
        <v>8800</v>
      </c>
      <c r="G17" s="17" t="s">
        <v>189</v>
      </c>
      <c r="H17" s="18"/>
      <c r="I17" s="18">
        <v>0.49</v>
      </c>
      <c r="J17" s="18">
        <v>-0.49</v>
      </c>
    </row>
    <row r="18" spans="1:10" x14ac:dyDescent="0.25">
      <c r="A18" s="17">
        <v>201040204</v>
      </c>
      <c r="B18" s="24" t="s">
        <v>44</v>
      </c>
      <c r="C18" s="17" t="s">
        <v>134</v>
      </c>
      <c r="D18" s="17" t="str">
        <f t="shared" si="0"/>
        <v>7</v>
      </c>
      <c r="E18" s="17" t="s">
        <v>134</v>
      </c>
      <c r="F18" s="17">
        <v>8905</v>
      </c>
      <c r="G18" s="17" t="s">
        <v>190</v>
      </c>
      <c r="H18" s="18"/>
      <c r="I18" s="18">
        <v>10</v>
      </c>
      <c r="J18" s="18">
        <v>-10</v>
      </c>
    </row>
    <row r="19" spans="1:10" x14ac:dyDescent="0.25">
      <c r="A19" s="17">
        <v>201040204</v>
      </c>
      <c r="B19" s="24" t="s">
        <v>44</v>
      </c>
      <c r="C19" s="17" t="s">
        <v>118</v>
      </c>
      <c r="D19" s="17" t="str">
        <f t="shared" si="0"/>
        <v>8</v>
      </c>
      <c r="E19" s="17" t="s">
        <v>118</v>
      </c>
      <c r="F19" s="17">
        <v>9013</v>
      </c>
      <c r="G19" s="17" t="s">
        <v>191</v>
      </c>
      <c r="H19" s="18"/>
      <c r="I19" s="18">
        <v>1.69</v>
      </c>
      <c r="J19" s="18">
        <v>-1.69</v>
      </c>
    </row>
    <row r="20" spans="1:10" x14ac:dyDescent="0.25">
      <c r="A20" s="17">
        <v>201040204</v>
      </c>
      <c r="B20" s="24" t="s">
        <v>44</v>
      </c>
      <c r="C20" s="17" t="s">
        <v>96</v>
      </c>
      <c r="D20" s="17" t="str">
        <f t="shared" si="0"/>
        <v>8</v>
      </c>
      <c r="E20" s="17" t="s">
        <v>96</v>
      </c>
      <c r="F20" s="17">
        <v>9152</v>
      </c>
      <c r="G20" s="17" t="s">
        <v>192</v>
      </c>
      <c r="H20" s="18">
        <v>12.56</v>
      </c>
      <c r="I20" s="18"/>
      <c r="J20" s="18">
        <v>12.56</v>
      </c>
    </row>
    <row r="21" spans="1:10" x14ac:dyDescent="0.25">
      <c r="A21" s="17">
        <v>201040204</v>
      </c>
      <c r="B21" s="24" t="s">
        <v>44</v>
      </c>
      <c r="C21" s="17" t="s">
        <v>193</v>
      </c>
      <c r="D21" s="17" t="str">
        <f t="shared" si="0"/>
        <v>9</v>
      </c>
      <c r="E21" s="17" t="s">
        <v>193</v>
      </c>
      <c r="F21" s="17">
        <v>9238</v>
      </c>
      <c r="G21" s="17" t="s">
        <v>194</v>
      </c>
      <c r="H21" s="18"/>
      <c r="I21" s="18">
        <v>16.45</v>
      </c>
      <c r="J21" s="18">
        <v>-16.45</v>
      </c>
    </row>
    <row r="22" spans="1:10" x14ac:dyDescent="0.25">
      <c r="A22" s="17">
        <v>201040204</v>
      </c>
      <c r="B22" s="24" t="s">
        <v>44</v>
      </c>
      <c r="C22" s="17" t="s">
        <v>123</v>
      </c>
      <c r="D22" s="17" t="str">
        <f t="shared" si="0"/>
        <v>9</v>
      </c>
      <c r="E22" s="17" t="s">
        <v>123</v>
      </c>
      <c r="F22" s="17">
        <v>9284</v>
      </c>
      <c r="G22" s="17" t="s">
        <v>195</v>
      </c>
      <c r="H22" s="18">
        <v>1.69</v>
      </c>
      <c r="I22" s="18"/>
      <c r="J22" s="18">
        <v>1.69</v>
      </c>
    </row>
    <row r="23" spans="1:10" x14ac:dyDescent="0.25">
      <c r="A23" s="17">
        <v>201040204</v>
      </c>
      <c r="B23" s="24" t="s">
        <v>44</v>
      </c>
      <c r="C23" s="17" t="s">
        <v>165</v>
      </c>
      <c r="D23" s="17">
        <v>10</v>
      </c>
      <c r="E23" s="17" t="s">
        <v>165</v>
      </c>
      <c r="F23" s="17">
        <v>9353</v>
      </c>
      <c r="G23" s="17" t="s">
        <v>196</v>
      </c>
      <c r="H23" s="18"/>
      <c r="I23" s="18">
        <v>16.100000000000001</v>
      </c>
      <c r="J23" s="18">
        <v>-16.100000000000001</v>
      </c>
    </row>
    <row r="24" spans="1:10" x14ac:dyDescent="0.25">
      <c r="A24" s="17">
        <v>201040204</v>
      </c>
      <c r="B24" s="24" t="s">
        <v>44</v>
      </c>
      <c r="C24" s="17" t="s">
        <v>126</v>
      </c>
      <c r="D24" s="17">
        <v>10</v>
      </c>
      <c r="E24" s="17" t="s">
        <v>126</v>
      </c>
      <c r="F24" s="17">
        <v>9424</v>
      </c>
      <c r="G24" s="17" t="s">
        <v>197</v>
      </c>
      <c r="H24" s="18">
        <v>16.45</v>
      </c>
      <c r="I24" s="18"/>
      <c r="J24" s="18">
        <v>16.45</v>
      </c>
    </row>
    <row r="25" spans="1:10" x14ac:dyDescent="0.25">
      <c r="A25" s="25">
        <v>201040216</v>
      </c>
      <c r="B25" s="25" t="s">
        <v>97</v>
      </c>
      <c r="C25" s="25">
        <v>2021</v>
      </c>
      <c r="D25" s="17">
        <v>1</v>
      </c>
      <c r="E25" s="25" t="s">
        <v>43</v>
      </c>
      <c r="F25" s="25"/>
      <c r="G25" s="25" t="s">
        <v>97</v>
      </c>
      <c r="H25" s="25"/>
      <c r="I25" s="25"/>
      <c r="J25" s="25">
        <v>-16.46</v>
      </c>
    </row>
    <row r="26" spans="1:10" x14ac:dyDescent="0.25">
      <c r="A26" s="25">
        <v>201040216</v>
      </c>
      <c r="B26" s="25" t="s">
        <v>97</v>
      </c>
      <c r="C26" s="25" t="s">
        <v>45</v>
      </c>
      <c r="D26" s="17">
        <v>1</v>
      </c>
      <c r="E26" s="25" t="s">
        <v>199</v>
      </c>
      <c r="F26" s="25">
        <v>8111</v>
      </c>
      <c r="G26" s="25" t="s">
        <v>200</v>
      </c>
      <c r="H26" s="25"/>
      <c r="I26" s="25">
        <v>0.5</v>
      </c>
      <c r="J26" s="25">
        <v>-0.5</v>
      </c>
    </row>
    <row r="27" spans="1:10" x14ac:dyDescent="0.25">
      <c r="A27" s="25">
        <v>201040216</v>
      </c>
      <c r="B27" s="25" t="s">
        <v>97</v>
      </c>
      <c r="C27" s="25" t="s">
        <v>45</v>
      </c>
      <c r="D27" s="17">
        <v>1</v>
      </c>
      <c r="E27" s="25" t="s">
        <v>199</v>
      </c>
      <c r="F27" s="25">
        <v>8116</v>
      </c>
      <c r="G27" s="25" t="s">
        <v>201</v>
      </c>
      <c r="H27" s="25"/>
      <c r="I27" s="25">
        <v>-0.5</v>
      </c>
      <c r="J27" s="25">
        <v>0.5</v>
      </c>
    </row>
    <row r="28" spans="1:10" x14ac:dyDescent="0.25">
      <c r="A28" s="25">
        <v>201040216</v>
      </c>
      <c r="B28" s="25" t="s">
        <v>97</v>
      </c>
      <c r="C28" s="25" t="s">
        <v>45</v>
      </c>
      <c r="D28" s="17">
        <v>1</v>
      </c>
      <c r="E28" s="25" t="s">
        <v>45</v>
      </c>
      <c r="F28" s="25">
        <v>8001</v>
      </c>
      <c r="G28" s="25" t="s">
        <v>202</v>
      </c>
      <c r="H28" s="25"/>
      <c r="I28" s="25">
        <v>1.04</v>
      </c>
      <c r="J28" s="25">
        <v>-1.04</v>
      </c>
    </row>
    <row r="29" spans="1:10" x14ac:dyDescent="0.25">
      <c r="A29" s="25">
        <v>201040216</v>
      </c>
      <c r="B29" s="25" t="s">
        <v>97</v>
      </c>
      <c r="C29" s="25" t="s">
        <v>45</v>
      </c>
      <c r="D29" s="17">
        <v>1</v>
      </c>
      <c r="E29" s="25" t="s">
        <v>45</v>
      </c>
      <c r="F29" s="25">
        <v>8002</v>
      </c>
      <c r="G29" s="25" t="s">
        <v>203</v>
      </c>
      <c r="H29" s="25"/>
      <c r="I29" s="25">
        <v>0.17</v>
      </c>
      <c r="J29" s="25">
        <v>-0.17</v>
      </c>
    </row>
    <row r="30" spans="1:10" x14ac:dyDescent="0.25">
      <c r="A30" s="25">
        <v>201040216</v>
      </c>
      <c r="B30" s="25" t="s">
        <v>97</v>
      </c>
      <c r="C30" s="25" t="s">
        <v>45</v>
      </c>
      <c r="D30" s="17">
        <v>1</v>
      </c>
      <c r="E30" s="25" t="s">
        <v>45</v>
      </c>
      <c r="F30" s="25">
        <v>8003</v>
      </c>
      <c r="G30" s="25" t="s">
        <v>204</v>
      </c>
      <c r="H30" s="25"/>
      <c r="I30" s="25">
        <v>0.44</v>
      </c>
      <c r="J30" s="25">
        <v>-0.44</v>
      </c>
    </row>
    <row r="31" spans="1:10" x14ac:dyDescent="0.25">
      <c r="A31" s="25">
        <v>201040216</v>
      </c>
      <c r="B31" s="25" t="s">
        <v>97</v>
      </c>
      <c r="C31" s="25" t="s">
        <v>45</v>
      </c>
      <c r="D31" s="17">
        <v>1</v>
      </c>
      <c r="E31" s="25" t="s">
        <v>45</v>
      </c>
      <c r="F31" s="25">
        <v>8004</v>
      </c>
      <c r="G31" s="25" t="s">
        <v>205</v>
      </c>
      <c r="H31" s="25"/>
      <c r="I31" s="25">
        <v>0.5</v>
      </c>
      <c r="J31" s="25">
        <v>-0.5</v>
      </c>
    </row>
    <row r="32" spans="1:10" x14ac:dyDescent="0.25">
      <c r="A32" s="25">
        <v>201040216</v>
      </c>
      <c r="B32" s="25" t="s">
        <v>97</v>
      </c>
      <c r="C32" s="25" t="s">
        <v>45</v>
      </c>
      <c r="D32" s="17">
        <v>1</v>
      </c>
      <c r="E32" s="25" t="s">
        <v>45</v>
      </c>
      <c r="F32" s="25">
        <v>8005</v>
      </c>
      <c r="G32" s="25" t="s">
        <v>206</v>
      </c>
      <c r="H32" s="25"/>
      <c r="I32" s="25">
        <v>0.22</v>
      </c>
      <c r="J32" s="25">
        <v>-0.22</v>
      </c>
    </row>
    <row r="33" spans="1:10" x14ac:dyDescent="0.25">
      <c r="A33" s="25">
        <v>201040216</v>
      </c>
      <c r="B33" s="25" t="s">
        <v>97</v>
      </c>
      <c r="C33" s="25" t="s">
        <v>45</v>
      </c>
      <c r="D33" s="17">
        <v>1</v>
      </c>
      <c r="E33" s="25" t="s">
        <v>45</v>
      </c>
      <c r="F33" s="25">
        <v>8015</v>
      </c>
      <c r="G33" s="25" t="s">
        <v>201</v>
      </c>
      <c r="H33" s="25"/>
      <c r="I33" s="25">
        <v>-1.04</v>
      </c>
      <c r="J33" s="25">
        <v>1.04</v>
      </c>
    </row>
    <row r="34" spans="1:10" x14ac:dyDescent="0.25">
      <c r="A34" s="25">
        <v>201040216</v>
      </c>
      <c r="B34" s="25" t="s">
        <v>97</v>
      </c>
      <c r="C34" s="25" t="s">
        <v>45</v>
      </c>
      <c r="D34" s="17">
        <v>1</v>
      </c>
      <c r="E34" s="25" t="s">
        <v>45</v>
      </c>
      <c r="F34" s="25">
        <v>8016</v>
      </c>
      <c r="G34" s="25" t="s">
        <v>201</v>
      </c>
      <c r="H34" s="25"/>
      <c r="I34" s="25">
        <v>-0.17</v>
      </c>
      <c r="J34" s="25">
        <v>0.17</v>
      </c>
    </row>
    <row r="35" spans="1:10" x14ac:dyDescent="0.25">
      <c r="A35" s="25">
        <v>201040216</v>
      </c>
      <c r="B35" s="25" t="s">
        <v>97</v>
      </c>
      <c r="C35" s="25" t="s">
        <v>45</v>
      </c>
      <c r="D35" s="17">
        <v>1</v>
      </c>
      <c r="E35" s="25" t="s">
        <v>45</v>
      </c>
      <c r="F35" s="25">
        <v>8018</v>
      </c>
      <c r="G35" s="25" t="s">
        <v>201</v>
      </c>
      <c r="H35" s="25"/>
      <c r="I35" s="25">
        <v>-0.44</v>
      </c>
      <c r="J35" s="25">
        <v>0.44</v>
      </c>
    </row>
    <row r="36" spans="1:10" x14ac:dyDescent="0.25">
      <c r="A36" s="25">
        <v>201040216</v>
      </c>
      <c r="B36" s="25" t="s">
        <v>97</v>
      </c>
      <c r="C36" s="25" t="s">
        <v>147</v>
      </c>
      <c r="D36" s="17">
        <v>1</v>
      </c>
      <c r="E36" s="25" t="s">
        <v>147</v>
      </c>
      <c r="F36" s="25">
        <v>8006</v>
      </c>
      <c r="G36" s="25" t="s">
        <v>207</v>
      </c>
      <c r="H36" s="25"/>
      <c r="I36" s="25">
        <v>0.67</v>
      </c>
      <c r="J36" s="25">
        <v>-0.67</v>
      </c>
    </row>
    <row r="37" spans="1:10" x14ac:dyDescent="0.25">
      <c r="A37" s="25">
        <v>201040216</v>
      </c>
      <c r="B37" s="25" t="s">
        <v>97</v>
      </c>
      <c r="C37" s="25" t="s">
        <v>147</v>
      </c>
      <c r="D37" s="17">
        <v>1</v>
      </c>
      <c r="E37" s="25" t="s">
        <v>147</v>
      </c>
      <c r="F37" s="25">
        <v>8017</v>
      </c>
      <c r="G37" s="25" t="s">
        <v>201</v>
      </c>
      <c r="H37" s="25"/>
      <c r="I37" s="25">
        <v>-0.67</v>
      </c>
      <c r="J37" s="25">
        <v>0.67</v>
      </c>
    </row>
    <row r="38" spans="1:10" x14ac:dyDescent="0.25">
      <c r="A38" s="25">
        <v>201040216</v>
      </c>
      <c r="B38" s="25" t="s">
        <v>97</v>
      </c>
      <c r="C38" s="25" t="s">
        <v>47</v>
      </c>
      <c r="D38" s="17">
        <v>1</v>
      </c>
      <c r="E38" s="25" t="s">
        <v>47</v>
      </c>
      <c r="F38" s="25">
        <v>7973</v>
      </c>
      <c r="G38" s="25" t="s">
        <v>208</v>
      </c>
      <c r="H38" s="25"/>
      <c r="I38" s="25">
        <v>1.66</v>
      </c>
      <c r="J38" s="25">
        <v>-1.66</v>
      </c>
    </row>
    <row r="39" spans="1:10" x14ac:dyDescent="0.25">
      <c r="A39" s="25">
        <v>201040216</v>
      </c>
      <c r="B39" s="25" t="s">
        <v>97</v>
      </c>
      <c r="C39" s="25" t="s">
        <v>50</v>
      </c>
      <c r="D39" s="17">
        <v>1</v>
      </c>
      <c r="E39" s="25" t="s">
        <v>50</v>
      </c>
      <c r="F39" s="25">
        <v>8072</v>
      </c>
      <c r="G39" s="25" t="s">
        <v>209</v>
      </c>
      <c r="H39" s="25">
        <v>16.46</v>
      </c>
      <c r="I39" s="25"/>
      <c r="J39" s="25">
        <v>16.46</v>
      </c>
    </row>
    <row r="40" spans="1:10" x14ac:dyDescent="0.25">
      <c r="A40" s="25">
        <v>201040216</v>
      </c>
      <c r="B40" s="25" t="s">
        <v>97</v>
      </c>
      <c r="C40" s="25" t="s">
        <v>54</v>
      </c>
      <c r="D40" s="17">
        <v>1</v>
      </c>
      <c r="E40" s="25" t="s">
        <v>54</v>
      </c>
      <c r="F40" s="25">
        <v>8021</v>
      </c>
      <c r="G40" s="25" t="s">
        <v>210</v>
      </c>
      <c r="H40" s="25"/>
      <c r="I40" s="25">
        <v>10.5</v>
      </c>
      <c r="J40" s="25">
        <v>-10.5</v>
      </c>
    </row>
    <row r="41" spans="1:10" x14ac:dyDescent="0.25">
      <c r="A41" s="25">
        <v>201040216</v>
      </c>
      <c r="B41" s="25" t="s">
        <v>97</v>
      </c>
      <c r="C41" s="25" t="s">
        <v>98</v>
      </c>
      <c r="D41" s="17">
        <v>1</v>
      </c>
      <c r="E41" s="25" t="s">
        <v>98</v>
      </c>
      <c r="F41" s="25">
        <v>8057</v>
      </c>
      <c r="G41" s="25" t="s">
        <v>211</v>
      </c>
      <c r="H41" s="25"/>
      <c r="I41" s="25">
        <v>3.5</v>
      </c>
      <c r="J41" s="25">
        <v>-3.5</v>
      </c>
    </row>
    <row r="42" spans="1:10" x14ac:dyDescent="0.25">
      <c r="A42" s="25">
        <v>201040216</v>
      </c>
      <c r="B42" s="25" t="s">
        <v>97</v>
      </c>
      <c r="C42" s="25" t="s">
        <v>56</v>
      </c>
      <c r="D42" s="25" t="s">
        <v>32</v>
      </c>
      <c r="E42" s="25" t="s">
        <v>56</v>
      </c>
      <c r="F42" s="25">
        <v>8110</v>
      </c>
      <c r="G42" s="25" t="s">
        <v>212</v>
      </c>
      <c r="H42" s="25"/>
      <c r="I42" s="25">
        <v>0.22</v>
      </c>
      <c r="J42" s="25">
        <v>-0.22</v>
      </c>
    </row>
    <row r="43" spans="1:10" x14ac:dyDescent="0.25">
      <c r="A43" s="25">
        <v>201040216</v>
      </c>
      <c r="B43" s="25" t="s">
        <v>97</v>
      </c>
      <c r="C43" s="25" t="s">
        <v>56</v>
      </c>
      <c r="D43" s="25" t="s">
        <v>32</v>
      </c>
      <c r="E43" s="25" t="s">
        <v>56</v>
      </c>
      <c r="F43" s="25">
        <v>8117</v>
      </c>
      <c r="G43" s="25" t="s">
        <v>200</v>
      </c>
      <c r="H43" s="25"/>
      <c r="I43" s="25">
        <v>0.5</v>
      </c>
      <c r="J43" s="25">
        <v>-0.5</v>
      </c>
    </row>
    <row r="44" spans="1:10" x14ac:dyDescent="0.25">
      <c r="A44" s="25">
        <v>201040216</v>
      </c>
      <c r="B44" s="25" t="s">
        <v>97</v>
      </c>
      <c r="C44" s="25" t="s">
        <v>58</v>
      </c>
      <c r="D44" s="25" t="s">
        <v>32</v>
      </c>
      <c r="E44" s="25" t="s">
        <v>58</v>
      </c>
      <c r="F44" s="25">
        <v>8062</v>
      </c>
      <c r="G44" s="25" t="s">
        <v>213</v>
      </c>
      <c r="H44" s="25"/>
      <c r="I44" s="25">
        <v>11.72</v>
      </c>
      <c r="J44" s="25">
        <v>-11.72</v>
      </c>
    </row>
    <row r="45" spans="1:10" x14ac:dyDescent="0.25">
      <c r="A45" s="25">
        <v>201040216</v>
      </c>
      <c r="B45" s="25" t="s">
        <v>97</v>
      </c>
      <c r="C45" s="25" t="s">
        <v>59</v>
      </c>
      <c r="D45" s="25" t="s">
        <v>32</v>
      </c>
      <c r="E45" s="25" t="s">
        <v>59</v>
      </c>
      <c r="F45" s="25">
        <v>8082</v>
      </c>
      <c r="G45" s="25" t="s">
        <v>214</v>
      </c>
      <c r="H45" s="25"/>
      <c r="I45" s="25">
        <v>10.09</v>
      </c>
      <c r="J45" s="25">
        <v>-10.09</v>
      </c>
    </row>
    <row r="46" spans="1:10" x14ac:dyDescent="0.25">
      <c r="A46" s="25">
        <v>201040216</v>
      </c>
      <c r="B46" s="25" t="s">
        <v>97</v>
      </c>
      <c r="C46" s="25" t="s">
        <v>52</v>
      </c>
      <c r="D46" s="25" t="s">
        <v>32</v>
      </c>
      <c r="E46" s="25" t="s">
        <v>52</v>
      </c>
      <c r="F46" s="25">
        <v>8312</v>
      </c>
      <c r="G46" s="25" t="s">
        <v>178</v>
      </c>
      <c r="H46" s="25">
        <v>16.38</v>
      </c>
      <c r="I46" s="25"/>
      <c r="J46" s="25">
        <v>16.38</v>
      </c>
    </row>
    <row r="47" spans="1:10" x14ac:dyDescent="0.25">
      <c r="A47" s="25">
        <v>201040216</v>
      </c>
      <c r="B47" s="25" t="s">
        <v>97</v>
      </c>
      <c r="C47" s="25" t="s">
        <v>69</v>
      </c>
      <c r="D47" s="25" t="s">
        <v>215</v>
      </c>
      <c r="E47" s="25" t="s">
        <v>69</v>
      </c>
      <c r="F47" s="25">
        <v>8369</v>
      </c>
      <c r="G47" s="25" t="s">
        <v>180</v>
      </c>
      <c r="H47" s="25">
        <v>22.53</v>
      </c>
      <c r="I47" s="25"/>
      <c r="J47" s="25">
        <v>22.53</v>
      </c>
    </row>
    <row r="48" spans="1:10" x14ac:dyDescent="0.25">
      <c r="A48" s="25">
        <v>201040216</v>
      </c>
      <c r="B48" s="25" t="s">
        <v>97</v>
      </c>
      <c r="C48" s="25" t="s">
        <v>181</v>
      </c>
      <c r="D48" s="25" t="s">
        <v>215</v>
      </c>
      <c r="E48" s="25" t="s">
        <v>181</v>
      </c>
      <c r="F48" s="25">
        <v>8325</v>
      </c>
      <c r="G48" s="25" t="s">
        <v>216</v>
      </c>
      <c r="H48" s="25"/>
      <c r="I48" s="25">
        <v>0.5</v>
      </c>
      <c r="J48" s="25">
        <v>-0.5</v>
      </c>
    </row>
    <row r="49" spans="1:10" x14ac:dyDescent="0.25">
      <c r="A49" s="25">
        <v>201040216</v>
      </c>
      <c r="B49" s="25" t="s">
        <v>97</v>
      </c>
      <c r="C49" s="25" t="s">
        <v>181</v>
      </c>
      <c r="D49" s="25" t="s">
        <v>215</v>
      </c>
      <c r="E49" s="25" t="s">
        <v>181</v>
      </c>
      <c r="F49" s="25">
        <v>8326</v>
      </c>
      <c r="G49" s="25" t="s">
        <v>217</v>
      </c>
      <c r="H49" s="25"/>
      <c r="I49" s="25">
        <v>0.22</v>
      </c>
      <c r="J49" s="25">
        <v>-0.22</v>
      </c>
    </row>
    <row r="50" spans="1:10" x14ac:dyDescent="0.25">
      <c r="A50" s="25">
        <v>201040216</v>
      </c>
      <c r="B50" s="25" t="s">
        <v>97</v>
      </c>
      <c r="C50" s="25" t="s">
        <v>80</v>
      </c>
      <c r="D50" s="25" t="s">
        <v>218</v>
      </c>
      <c r="E50" s="25" t="s">
        <v>72</v>
      </c>
      <c r="F50" s="25">
        <v>8412</v>
      </c>
      <c r="G50" s="25" t="s">
        <v>219</v>
      </c>
      <c r="H50" s="25"/>
      <c r="I50" s="25">
        <v>1.1000000000000001</v>
      </c>
      <c r="J50" s="25">
        <v>-1.1000000000000001</v>
      </c>
    </row>
    <row r="51" spans="1:10" x14ac:dyDescent="0.25">
      <c r="A51" s="25">
        <v>201040216</v>
      </c>
      <c r="B51" s="25" t="s">
        <v>97</v>
      </c>
      <c r="C51" s="25" t="s">
        <v>101</v>
      </c>
      <c r="D51" s="25" t="s">
        <v>220</v>
      </c>
      <c r="E51" s="25" t="s">
        <v>101</v>
      </c>
      <c r="F51" s="25">
        <v>8413</v>
      </c>
      <c r="G51" s="25" t="s">
        <v>221</v>
      </c>
      <c r="H51" s="25"/>
      <c r="I51" s="25">
        <v>0.5</v>
      </c>
      <c r="J51" s="25">
        <v>-0.5</v>
      </c>
    </row>
    <row r="52" spans="1:10" x14ac:dyDescent="0.25">
      <c r="A52" s="25">
        <v>201040216</v>
      </c>
      <c r="B52" s="25" t="s">
        <v>97</v>
      </c>
      <c r="C52" s="25" t="s">
        <v>101</v>
      </c>
      <c r="D52" s="25" t="s">
        <v>220</v>
      </c>
      <c r="E52" s="25" t="s">
        <v>101</v>
      </c>
      <c r="F52" s="25">
        <v>8415</v>
      </c>
      <c r="G52" s="25" t="s">
        <v>222</v>
      </c>
      <c r="H52" s="25"/>
      <c r="I52" s="25">
        <v>0.22</v>
      </c>
      <c r="J52" s="25">
        <v>-0.22</v>
      </c>
    </row>
    <row r="53" spans="1:10" x14ac:dyDescent="0.25">
      <c r="A53" s="25">
        <v>201040216</v>
      </c>
      <c r="B53" s="25" t="s">
        <v>97</v>
      </c>
      <c r="C53" s="25" t="s">
        <v>78</v>
      </c>
      <c r="D53" s="25" t="s">
        <v>220</v>
      </c>
      <c r="E53" s="25" t="s">
        <v>78</v>
      </c>
      <c r="F53" s="25">
        <v>8572</v>
      </c>
      <c r="G53" s="25" t="s">
        <v>186</v>
      </c>
      <c r="H53" s="25">
        <v>0.72</v>
      </c>
      <c r="I53" s="25"/>
      <c r="J53" s="25">
        <v>0.72</v>
      </c>
    </row>
    <row r="54" spans="1:10" x14ac:dyDescent="0.25">
      <c r="A54" s="25">
        <v>201040216</v>
      </c>
      <c r="B54" s="25" t="s">
        <v>97</v>
      </c>
      <c r="C54" s="25" t="s">
        <v>87</v>
      </c>
      <c r="D54" s="25" t="s">
        <v>218</v>
      </c>
      <c r="E54" s="25" t="s">
        <v>109</v>
      </c>
      <c r="F54" s="25">
        <v>8443</v>
      </c>
      <c r="G54" s="25" t="s">
        <v>223</v>
      </c>
      <c r="H54" s="25"/>
      <c r="I54" s="25">
        <v>8.75</v>
      </c>
      <c r="J54" s="25">
        <v>-8.75</v>
      </c>
    </row>
    <row r="55" spans="1:10" x14ac:dyDescent="0.25">
      <c r="A55" s="25">
        <v>201040216</v>
      </c>
      <c r="B55" s="25" t="s">
        <v>97</v>
      </c>
      <c r="C55" s="25" t="s">
        <v>83</v>
      </c>
      <c r="D55" s="25" t="s">
        <v>218</v>
      </c>
      <c r="E55" s="25" t="s">
        <v>83</v>
      </c>
      <c r="F55" s="25">
        <v>8498</v>
      </c>
      <c r="G55" s="25" t="s">
        <v>224</v>
      </c>
      <c r="H55" s="25"/>
      <c r="I55" s="25">
        <v>0.22</v>
      </c>
      <c r="J55" s="25">
        <v>-0.22</v>
      </c>
    </row>
    <row r="56" spans="1:10" x14ac:dyDescent="0.25">
      <c r="A56" s="25">
        <v>201040216</v>
      </c>
      <c r="B56" s="25" t="s">
        <v>97</v>
      </c>
      <c r="C56" s="25" t="s">
        <v>83</v>
      </c>
      <c r="D56" s="25" t="s">
        <v>218</v>
      </c>
      <c r="E56" s="25" t="s">
        <v>83</v>
      </c>
      <c r="F56" s="25">
        <v>8499</v>
      </c>
      <c r="G56" s="25" t="s">
        <v>225</v>
      </c>
      <c r="H56" s="25"/>
      <c r="I56" s="25">
        <v>0.5</v>
      </c>
      <c r="J56" s="25">
        <v>-0.5</v>
      </c>
    </row>
    <row r="57" spans="1:10" x14ac:dyDescent="0.25">
      <c r="A57" s="25">
        <v>201040216</v>
      </c>
      <c r="B57" s="25" t="s">
        <v>97</v>
      </c>
      <c r="C57" s="25" t="s">
        <v>86</v>
      </c>
      <c r="D57" s="25" t="s">
        <v>218</v>
      </c>
      <c r="E57" s="25" t="s">
        <v>86</v>
      </c>
      <c r="F57" s="25">
        <v>8661</v>
      </c>
      <c r="G57" s="25" t="s">
        <v>187</v>
      </c>
      <c r="H57" s="25">
        <v>10.57</v>
      </c>
      <c r="I57" s="25"/>
      <c r="J57" s="25">
        <v>10.57</v>
      </c>
    </row>
    <row r="58" spans="1:10" x14ac:dyDescent="0.25">
      <c r="A58" s="25">
        <v>201040216</v>
      </c>
      <c r="B58" s="25" t="s">
        <v>97</v>
      </c>
      <c r="C58" s="25" t="s">
        <v>88</v>
      </c>
      <c r="D58" s="25" t="s">
        <v>218</v>
      </c>
      <c r="E58" s="25" t="s">
        <v>88</v>
      </c>
      <c r="F58" s="25">
        <v>8583</v>
      </c>
      <c r="G58" s="25" t="s">
        <v>226</v>
      </c>
      <c r="H58" s="25"/>
      <c r="I58" s="25">
        <v>6.08</v>
      </c>
      <c r="J58" s="25">
        <v>-6.08</v>
      </c>
    </row>
    <row r="59" spans="1:10" x14ac:dyDescent="0.25">
      <c r="A59" s="25">
        <v>201040216</v>
      </c>
      <c r="B59" s="25" t="s">
        <v>97</v>
      </c>
      <c r="C59" s="25" t="s">
        <v>112</v>
      </c>
      <c r="D59" s="25" t="s">
        <v>227</v>
      </c>
      <c r="E59" s="25" t="s">
        <v>112</v>
      </c>
      <c r="F59" s="25">
        <v>8688</v>
      </c>
      <c r="G59" s="25" t="s">
        <v>228</v>
      </c>
      <c r="H59" s="25"/>
      <c r="I59" s="25">
        <v>0.22</v>
      </c>
      <c r="J59" s="25">
        <v>-0.22</v>
      </c>
    </row>
    <row r="60" spans="1:10" x14ac:dyDescent="0.25">
      <c r="A60" s="25">
        <v>201040216</v>
      </c>
      <c r="B60" s="25" t="s">
        <v>97</v>
      </c>
      <c r="C60" s="25" t="s">
        <v>112</v>
      </c>
      <c r="D60" s="25" t="s">
        <v>227</v>
      </c>
      <c r="E60" s="25" t="s">
        <v>112</v>
      </c>
      <c r="F60" s="25">
        <v>8750</v>
      </c>
      <c r="G60" s="25" t="s">
        <v>229</v>
      </c>
      <c r="H60" s="25"/>
      <c r="I60" s="25">
        <v>0.5</v>
      </c>
      <c r="J60" s="25">
        <v>-0.5</v>
      </c>
    </row>
    <row r="61" spans="1:10" x14ac:dyDescent="0.25">
      <c r="A61" s="25">
        <v>201040216</v>
      </c>
      <c r="B61" s="25" t="s">
        <v>97</v>
      </c>
      <c r="C61" s="25" t="s">
        <v>230</v>
      </c>
      <c r="D61" s="25" t="s">
        <v>227</v>
      </c>
      <c r="E61" s="25" t="s">
        <v>230</v>
      </c>
      <c r="F61" s="25">
        <v>8886</v>
      </c>
      <c r="G61" s="25" t="s">
        <v>231</v>
      </c>
      <c r="H61" s="25">
        <v>6.8</v>
      </c>
      <c r="I61" s="25"/>
      <c r="J61" s="25">
        <v>6.8</v>
      </c>
    </row>
    <row r="62" spans="1:10" x14ac:dyDescent="0.25">
      <c r="A62" s="25">
        <v>201040216</v>
      </c>
      <c r="B62" s="25" t="s">
        <v>97</v>
      </c>
      <c r="C62" s="25" t="s">
        <v>160</v>
      </c>
      <c r="D62" s="25" t="s">
        <v>232</v>
      </c>
      <c r="E62" s="25" t="s">
        <v>160</v>
      </c>
      <c r="F62" s="25">
        <v>8801</v>
      </c>
      <c r="G62" s="25" t="s">
        <v>233</v>
      </c>
      <c r="H62" s="25"/>
      <c r="I62" s="25">
        <v>0.22</v>
      </c>
      <c r="J62" s="25">
        <v>-0.22</v>
      </c>
    </row>
    <row r="63" spans="1:10" x14ac:dyDescent="0.25">
      <c r="A63" s="25">
        <v>201040216</v>
      </c>
      <c r="B63" s="25" t="s">
        <v>97</v>
      </c>
      <c r="C63" s="25" t="s">
        <v>160</v>
      </c>
      <c r="D63" s="25" t="s">
        <v>232</v>
      </c>
      <c r="E63" s="25" t="s">
        <v>160</v>
      </c>
      <c r="F63" s="25">
        <v>8802</v>
      </c>
      <c r="G63" s="25" t="s">
        <v>229</v>
      </c>
      <c r="H63" s="25"/>
      <c r="I63" s="25">
        <v>0.83</v>
      </c>
      <c r="J63" s="25">
        <v>-0.83</v>
      </c>
    </row>
    <row r="64" spans="1:10" x14ac:dyDescent="0.25">
      <c r="A64" s="25">
        <v>201040216</v>
      </c>
      <c r="B64" s="25" t="s">
        <v>97</v>
      </c>
      <c r="C64" s="25" t="s">
        <v>95</v>
      </c>
      <c r="D64" s="25" t="s">
        <v>232</v>
      </c>
      <c r="E64" s="25" t="s">
        <v>95</v>
      </c>
      <c r="F64" s="25">
        <v>8956</v>
      </c>
      <c r="G64" s="25" t="s">
        <v>234</v>
      </c>
      <c r="H64" s="25">
        <v>228.52</v>
      </c>
      <c r="I64" s="25"/>
      <c r="J64" s="25">
        <v>228.52</v>
      </c>
    </row>
    <row r="65" spans="1:10" x14ac:dyDescent="0.25">
      <c r="A65" s="25">
        <v>201040216</v>
      </c>
      <c r="B65" s="25" t="s">
        <v>97</v>
      </c>
      <c r="C65" s="25" t="s">
        <v>95</v>
      </c>
      <c r="D65" s="25" t="s">
        <v>232</v>
      </c>
      <c r="E65" s="25" t="s">
        <v>95</v>
      </c>
      <c r="F65" s="25">
        <v>8986</v>
      </c>
      <c r="G65" s="25" t="s">
        <v>235</v>
      </c>
      <c r="H65" s="25">
        <v>-228.52</v>
      </c>
      <c r="I65" s="25"/>
      <c r="J65" s="25">
        <v>-228.52</v>
      </c>
    </row>
    <row r="66" spans="1:10" x14ac:dyDescent="0.25">
      <c r="A66" s="25">
        <v>201040216</v>
      </c>
      <c r="B66" s="25" t="s">
        <v>97</v>
      </c>
      <c r="C66" s="25" t="s">
        <v>95</v>
      </c>
      <c r="D66" s="25" t="s">
        <v>232</v>
      </c>
      <c r="E66" s="25" t="s">
        <v>95</v>
      </c>
      <c r="F66" s="25">
        <v>8987</v>
      </c>
      <c r="G66" s="25" t="s">
        <v>234</v>
      </c>
      <c r="H66" s="25">
        <v>0.72</v>
      </c>
      <c r="I66" s="25"/>
      <c r="J66" s="25">
        <v>0.72</v>
      </c>
    </row>
    <row r="67" spans="1:10" x14ac:dyDescent="0.25">
      <c r="A67" s="25">
        <v>201040216</v>
      </c>
      <c r="B67" s="25" t="s">
        <v>97</v>
      </c>
      <c r="C67" s="25" t="s">
        <v>236</v>
      </c>
      <c r="D67" s="25" t="s">
        <v>232</v>
      </c>
      <c r="E67" s="25" t="s">
        <v>236</v>
      </c>
      <c r="F67" s="25">
        <v>8846</v>
      </c>
      <c r="G67" s="25" t="s">
        <v>237</v>
      </c>
      <c r="H67" s="25"/>
      <c r="I67" s="25">
        <v>13.83</v>
      </c>
      <c r="J67" s="25">
        <v>-13.83</v>
      </c>
    </row>
    <row r="68" spans="1:10" x14ac:dyDescent="0.25">
      <c r="A68" s="25">
        <v>201040216</v>
      </c>
      <c r="B68" s="25" t="s">
        <v>97</v>
      </c>
      <c r="C68" s="25" t="s">
        <v>118</v>
      </c>
      <c r="D68" s="25" t="s">
        <v>238</v>
      </c>
      <c r="E68" s="25" t="s">
        <v>118</v>
      </c>
      <c r="F68" s="25">
        <v>9027</v>
      </c>
      <c r="G68" s="25" t="s">
        <v>239</v>
      </c>
      <c r="H68" s="25"/>
      <c r="I68" s="25">
        <v>0.67</v>
      </c>
      <c r="J68" s="25">
        <v>-0.67</v>
      </c>
    </row>
    <row r="69" spans="1:10" x14ac:dyDescent="0.25">
      <c r="A69" s="25">
        <v>201040216</v>
      </c>
      <c r="B69" s="25" t="s">
        <v>97</v>
      </c>
      <c r="C69" s="25" t="s">
        <v>240</v>
      </c>
      <c r="D69" s="25" t="s">
        <v>238</v>
      </c>
      <c r="E69" s="25" t="s">
        <v>240</v>
      </c>
      <c r="F69" s="25">
        <v>9115</v>
      </c>
      <c r="G69" s="25" t="s">
        <v>241</v>
      </c>
      <c r="H69" s="25"/>
      <c r="I69" s="25">
        <v>0.22</v>
      </c>
      <c r="J69" s="25">
        <v>-0.22</v>
      </c>
    </row>
    <row r="70" spans="1:10" x14ac:dyDescent="0.25">
      <c r="A70" s="25">
        <v>201040216</v>
      </c>
      <c r="B70" s="25" t="s">
        <v>97</v>
      </c>
      <c r="C70" s="25" t="s">
        <v>96</v>
      </c>
      <c r="D70" s="25" t="s">
        <v>238</v>
      </c>
      <c r="E70" s="25" t="s">
        <v>96</v>
      </c>
      <c r="F70" s="25">
        <v>9152</v>
      </c>
      <c r="G70" s="25" t="s">
        <v>192</v>
      </c>
      <c r="H70" s="25">
        <v>14.88</v>
      </c>
      <c r="I70" s="25"/>
      <c r="J70" s="25">
        <v>14.88</v>
      </c>
    </row>
    <row r="71" spans="1:10" x14ac:dyDescent="0.25">
      <c r="A71" s="25">
        <v>201040216</v>
      </c>
      <c r="B71" s="25" t="s">
        <v>97</v>
      </c>
      <c r="C71" s="25" t="s">
        <v>163</v>
      </c>
      <c r="D71" s="25" t="s">
        <v>242</v>
      </c>
      <c r="E71" s="25" t="s">
        <v>163</v>
      </c>
      <c r="F71" s="25">
        <v>9176</v>
      </c>
      <c r="G71" s="25" t="s">
        <v>243</v>
      </c>
      <c r="H71" s="25"/>
      <c r="I71" s="25">
        <v>0.67</v>
      </c>
      <c r="J71" s="25">
        <v>-0.67</v>
      </c>
    </row>
    <row r="72" spans="1:10" x14ac:dyDescent="0.25">
      <c r="A72" s="25">
        <v>201040216</v>
      </c>
      <c r="B72" s="25" t="s">
        <v>97</v>
      </c>
      <c r="C72" s="25" t="s">
        <v>163</v>
      </c>
      <c r="D72" s="25" t="s">
        <v>242</v>
      </c>
      <c r="E72" s="25" t="s">
        <v>163</v>
      </c>
      <c r="F72" s="25">
        <v>9177</v>
      </c>
      <c r="G72" s="25" t="s">
        <v>244</v>
      </c>
      <c r="H72" s="25"/>
      <c r="I72" s="25">
        <v>0.22</v>
      </c>
      <c r="J72" s="25">
        <v>-0.22</v>
      </c>
    </row>
    <row r="73" spans="1:10" x14ac:dyDescent="0.25">
      <c r="A73" s="25">
        <v>201040216</v>
      </c>
      <c r="B73" s="25" t="s">
        <v>97</v>
      </c>
      <c r="C73" s="25" t="s">
        <v>123</v>
      </c>
      <c r="D73" s="25" t="s">
        <v>242</v>
      </c>
      <c r="E73" s="25" t="s">
        <v>123</v>
      </c>
      <c r="F73" s="25">
        <v>9284</v>
      </c>
      <c r="G73" s="25" t="s">
        <v>195</v>
      </c>
      <c r="H73" s="25">
        <v>0.89</v>
      </c>
      <c r="I73" s="25"/>
      <c r="J73" s="25">
        <v>0.89</v>
      </c>
    </row>
    <row r="74" spans="1:10" x14ac:dyDescent="0.25">
      <c r="A74" s="25">
        <v>201040216</v>
      </c>
      <c r="B74" s="25" t="s">
        <v>97</v>
      </c>
      <c r="C74" s="25" t="s">
        <v>165</v>
      </c>
      <c r="D74" s="25">
        <v>10</v>
      </c>
      <c r="E74" s="25" t="s">
        <v>165</v>
      </c>
      <c r="F74" s="25">
        <v>9385</v>
      </c>
      <c r="G74" s="25" t="s">
        <v>245</v>
      </c>
      <c r="H74" s="25"/>
      <c r="I74" s="25">
        <v>0.67</v>
      </c>
      <c r="J74" s="25">
        <v>-0.67</v>
      </c>
    </row>
    <row r="75" spans="1:10" x14ac:dyDescent="0.25">
      <c r="A75" s="25">
        <v>201040216</v>
      </c>
      <c r="B75" s="25" t="s">
        <v>97</v>
      </c>
      <c r="C75" s="25" t="s">
        <v>165</v>
      </c>
      <c r="D75" s="25">
        <v>10</v>
      </c>
      <c r="E75" s="25" t="s">
        <v>165</v>
      </c>
      <c r="F75" s="25">
        <v>9386</v>
      </c>
      <c r="G75" s="25" t="s">
        <v>246</v>
      </c>
      <c r="H75" s="25"/>
      <c r="I75" s="25">
        <v>0.22</v>
      </c>
      <c r="J75" s="25">
        <v>-0.22</v>
      </c>
    </row>
    <row r="76" spans="1:10" x14ac:dyDescent="0.25">
      <c r="A76" s="25">
        <v>201040216</v>
      </c>
      <c r="B76" s="25" t="s">
        <v>97</v>
      </c>
      <c r="C76" s="25" t="s">
        <v>165</v>
      </c>
      <c r="D76" s="25">
        <v>10</v>
      </c>
      <c r="E76" s="25" t="s">
        <v>165</v>
      </c>
      <c r="F76" s="25">
        <v>9443</v>
      </c>
      <c r="G76" s="25" t="s">
        <v>201</v>
      </c>
      <c r="H76" s="25"/>
      <c r="I76" s="25">
        <v>-0.22</v>
      </c>
      <c r="J76" s="25">
        <v>0.22</v>
      </c>
    </row>
    <row r="77" spans="1:10" x14ac:dyDescent="0.25">
      <c r="A77" s="25">
        <v>201040216</v>
      </c>
      <c r="B77" s="25" t="s">
        <v>97</v>
      </c>
      <c r="C77" s="25" t="s">
        <v>165</v>
      </c>
      <c r="D77" s="25">
        <v>10</v>
      </c>
      <c r="E77" s="25" t="s">
        <v>165</v>
      </c>
      <c r="F77" s="25">
        <v>9444</v>
      </c>
      <c r="G77" s="25" t="s">
        <v>246</v>
      </c>
      <c r="H77" s="25"/>
      <c r="I77" s="25">
        <v>0.22</v>
      </c>
      <c r="J77" s="25">
        <v>-0.22</v>
      </c>
    </row>
    <row r="78" spans="1:10" x14ac:dyDescent="0.25">
      <c r="A78" s="25">
        <v>201040216</v>
      </c>
      <c r="B78" s="25" t="s">
        <v>97</v>
      </c>
      <c r="C78" s="25" t="s">
        <v>126</v>
      </c>
      <c r="D78" s="25">
        <v>10</v>
      </c>
      <c r="E78" s="25" t="s">
        <v>126</v>
      </c>
      <c r="F78" s="25">
        <v>9424</v>
      </c>
      <c r="G78" s="25" t="s">
        <v>197</v>
      </c>
      <c r="H78" s="25">
        <v>0.89</v>
      </c>
      <c r="I78" s="25"/>
      <c r="J78" s="25">
        <v>0.89</v>
      </c>
    </row>
    <row r="79" spans="1:10" x14ac:dyDescent="0.25">
      <c r="A79" s="25">
        <v>201040216</v>
      </c>
      <c r="B79" s="25" t="s">
        <v>97</v>
      </c>
      <c r="C79" s="25" t="s">
        <v>247</v>
      </c>
      <c r="D79" s="17">
        <v>1</v>
      </c>
      <c r="E79" s="25" t="s">
        <v>145</v>
      </c>
      <c r="F79" s="25">
        <v>9403</v>
      </c>
      <c r="G79" s="25" t="s">
        <v>248</v>
      </c>
      <c r="H79" s="25"/>
      <c r="I79" s="25">
        <v>141.5</v>
      </c>
      <c r="J79" s="25">
        <v>-141.5</v>
      </c>
    </row>
    <row r="80" spans="1:10" x14ac:dyDescent="0.25">
      <c r="A80" s="25">
        <v>201040216</v>
      </c>
      <c r="B80" s="25" t="s">
        <v>97</v>
      </c>
      <c r="C80" s="25" t="s">
        <v>247</v>
      </c>
      <c r="D80" s="17">
        <v>1</v>
      </c>
      <c r="E80" s="25" t="s">
        <v>145</v>
      </c>
      <c r="F80" s="25">
        <v>9404</v>
      </c>
      <c r="G80" s="25" t="s">
        <v>249</v>
      </c>
      <c r="H80" s="25"/>
      <c r="I80" s="25">
        <v>10.44</v>
      </c>
      <c r="J80" s="25">
        <v>-10.44</v>
      </c>
    </row>
    <row r="81" spans="1:10" x14ac:dyDescent="0.25">
      <c r="A81" s="25">
        <v>201040217</v>
      </c>
      <c r="B81" s="24" t="s">
        <v>146</v>
      </c>
      <c r="C81" s="25">
        <v>2021</v>
      </c>
      <c r="D81" s="17">
        <v>1</v>
      </c>
      <c r="E81" s="25" t="s">
        <v>43</v>
      </c>
      <c r="F81" s="25"/>
      <c r="G81" s="25" t="s">
        <v>146</v>
      </c>
      <c r="H81" s="25"/>
      <c r="I81" s="25"/>
      <c r="J81" s="25">
        <v>-1073.7</v>
      </c>
    </row>
    <row r="82" spans="1:10" x14ac:dyDescent="0.25">
      <c r="A82" s="25">
        <v>201040217</v>
      </c>
      <c r="B82" s="24" t="s">
        <v>146</v>
      </c>
      <c r="C82" s="25" t="s">
        <v>45</v>
      </c>
      <c r="D82" s="17">
        <v>1</v>
      </c>
      <c r="E82" s="25" t="s">
        <v>250</v>
      </c>
      <c r="F82" s="25">
        <v>8007</v>
      </c>
      <c r="G82" s="25" t="s">
        <v>251</v>
      </c>
      <c r="H82" s="25"/>
      <c r="I82" s="25">
        <v>6.54</v>
      </c>
      <c r="J82" s="25">
        <v>-6.54</v>
      </c>
    </row>
    <row r="83" spans="1:10" x14ac:dyDescent="0.25">
      <c r="A83" s="25">
        <v>201040217</v>
      </c>
      <c r="B83" s="24" t="s">
        <v>146</v>
      </c>
      <c r="C83" s="25" t="s">
        <v>45</v>
      </c>
      <c r="D83" s="17">
        <v>1</v>
      </c>
      <c r="E83" s="25" t="s">
        <v>250</v>
      </c>
      <c r="F83" s="25">
        <v>8008</v>
      </c>
      <c r="G83" s="25" t="s">
        <v>252</v>
      </c>
      <c r="H83" s="25"/>
      <c r="I83" s="25">
        <v>3.93</v>
      </c>
      <c r="J83" s="25">
        <v>-3.93</v>
      </c>
    </row>
    <row r="84" spans="1:10" x14ac:dyDescent="0.25">
      <c r="A84" s="25">
        <v>201040217</v>
      </c>
      <c r="B84" s="24" t="s">
        <v>146</v>
      </c>
      <c r="C84" s="25" t="s">
        <v>45</v>
      </c>
      <c r="D84" s="17">
        <v>1</v>
      </c>
      <c r="E84" s="25" t="s">
        <v>45</v>
      </c>
      <c r="F84" s="25">
        <v>7938</v>
      </c>
      <c r="G84" s="25" t="s">
        <v>253</v>
      </c>
      <c r="H84" s="25"/>
      <c r="I84" s="25">
        <v>1.38</v>
      </c>
      <c r="J84" s="25">
        <v>-1.38</v>
      </c>
    </row>
    <row r="85" spans="1:10" x14ac:dyDescent="0.25">
      <c r="A85" s="25">
        <v>201040217</v>
      </c>
      <c r="B85" s="24" t="s">
        <v>146</v>
      </c>
      <c r="C85" s="25" t="s">
        <v>147</v>
      </c>
      <c r="D85" s="17">
        <v>1</v>
      </c>
      <c r="E85" s="25" t="s">
        <v>147</v>
      </c>
      <c r="F85" s="25">
        <v>7944</v>
      </c>
      <c r="G85" s="25" t="s">
        <v>254</v>
      </c>
      <c r="H85" s="25"/>
      <c r="I85" s="25">
        <v>6.33</v>
      </c>
      <c r="J85" s="25">
        <v>-6.33</v>
      </c>
    </row>
    <row r="86" spans="1:10" x14ac:dyDescent="0.25">
      <c r="A86" s="25">
        <v>201040217</v>
      </c>
      <c r="B86" s="24" t="s">
        <v>146</v>
      </c>
      <c r="C86" s="25" t="s">
        <v>150</v>
      </c>
      <c r="D86" s="25" t="s">
        <v>32</v>
      </c>
      <c r="E86" s="25" t="s">
        <v>47</v>
      </c>
      <c r="F86" s="25">
        <v>8012</v>
      </c>
      <c r="G86" s="25" t="s">
        <v>255</v>
      </c>
      <c r="H86" s="25"/>
      <c r="I86" s="25">
        <v>121</v>
      </c>
      <c r="J86" s="25">
        <v>-121</v>
      </c>
    </row>
    <row r="87" spans="1:10" x14ac:dyDescent="0.25">
      <c r="A87" s="25">
        <v>201040217</v>
      </c>
      <c r="B87" s="24" t="s">
        <v>146</v>
      </c>
      <c r="C87" s="25" t="s">
        <v>48</v>
      </c>
      <c r="D87" s="17">
        <v>1</v>
      </c>
      <c r="E87" s="25" t="s">
        <v>48</v>
      </c>
      <c r="F87" s="25">
        <v>8011</v>
      </c>
      <c r="G87" s="25" t="s">
        <v>256</v>
      </c>
      <c r="H87" s="25"/>
      <c r="I87" s="25">
        <v>11</v>
      </c>
      <c r="J87" s="25">
        <v>-11</v>
      </c>
    </row>
    <row r="88" spans="1:10" x14ac:dyDescent="0.25">
      <c r="A88" s="25">
        <v>201040217</v>
      </c>
      <c r="B88" s="24" t="s">
        <v>146</v>
      </c>
      <c r="C88" s="25" t="s">
        <v>100</v>
      </c>
      <c r="D88" s="25" t="s">
        <v>32</v>
      </c>
      <c r="E88" s="25" t="s">
        <v>49</v>
      </c>
      <c r="F88" s="25">
        <v>8013</v>
      </c>
      <c r="G88" s="25" t="s">
        <v>257</v>
      </c>
      <c r="H88" s="25"/>
      <c r="I88" s="25">
        <v>60.5</v>
      </c>
      <c r="J88" s="25">
        <v>-60.5</v>
      </c>
    </row>
    <row r="89" spans="1:10" x14ac:dyDescent="0.25">
      <c r="A89" s="25">
        <v>201040217</v>
      </c>
      <c r="B89" s="24" t="s">
        <v>146</v>
      </c>
      <c r="C89" s="25" t="s">
        <v>100</v>
      </c>
      <c r="D89" s="25" t="s">
        <v>32</v>
      </c>
      <c r="E89" s="25" t="s">
        <v>49</v>
      </c>
      <c r="F89" s="25">
        <v>8014</v>
      </c>
      <c r="G89" s="25" t="s">
        <v>258</v>
      </c>
      <c r="H89" s="25"/>
      <c r="I89" s="25">
        <v>11.89</v>
      </c>
      <c r="J89" s="25">
        <v>-11.89</v>
      </c>
    </row>
    <row r="90" spans="1:10" x14ac:dyDescent="0.25">
      <c r="A90" s="25">
        <v>201040217</v>
      </c>
      <c r="B90" s="24" t="s">
        <v>146</v>
      </c>
      <c r="C90" s="25" t="s">
        <v>50</v>
      </c>
      <c r="D90" s="17">
        <v>1</v>
      </c>
      <c r="E90" s="25" t="s">
        <v>50</v>
      </c>
      <c r="F90" s="25">
        <v>7968</v>
      </c>
      <c r="G90" s="25" t="s">
        <v>259</v>
      </c>
      <c r="H90" s="25"/>
      <c r="I90" s="25">
        <v>0.55000000000000004</v>
      </c>
      <c r="J90" s="25">
        <v>-0.55000000000000004</v>
      </c>
    </row>
    <row r="91" spans="1:10" x14ac:dyDescent="0.25">
      <c r="A91" s="25">
        <v>201040217</v>
      </c>
      <c r="B91" s="24" t="s">
        <v>146</v>
      </c>
      <c r="C91" s="25" t="s">
        <v>50</v>
      </c>
      <c r="D91" s="17">
        <v>1</v>
      </c>
      <c r="E91" s="25" t="s">
        <v>50</v>
      </c>
      <c r="F91" s="25">
        <v>8072</v>
      </c>
      <c r="G91" s="25" t="s">
        <v>209</v>
      </c>
      <c r="H91" s="25">
        <v>1073.7</v>
      </c>
      <c r="I91" s="25"/>
      <c r="J91" s="25">
        <v>1073.7</v>
      </c>
    </row>
    <row r="92" spans="1:10" x14ac:dyDescent="0.25">
      <c r="A92" s="25">
        <v>201040217</v>
      </c>
      <c r="B92" s="24" t="s">
        <v>146</v>
      </c>
      <c r="C92" s="25" t="s">
        <v>53</v>
      </c>
      <c r="D92" s="17">
        <v>1</v>
      </c>
      <c r="E92" s="25" t="s">
        <v>53</v>
      </c>
      <c r="F92" s="25">
        <v>8020</v>
      </c>
      <c r="G92" s="25" t="s">
        <v>260</v>
      </c>
      <c r="H92" s="25"/>
      <c r="I92" s="25">
        <v>4.54</v>
      </c>
      <c r="J92" s="25">
        <v>-4.54</v>
      </c>
    </row>
    <row r="93" spans="1:10" x14ac:dyDescent="0.25">
      <c r="A93" s="25">
        <v>201040217</v>
      </c>
      <c r="B93" s="24" t="s">
        <v>146</v>
      </c>
      <c r="C93" s="25" t="s">
        <v>148</v>
      </c>
      <c r="D93" s="17">
        <v>1</v>
      </c>
      <c r="E93" s="25" t="s">
        <v>148</v>
      </c>
      <c r="F93" s="25">
        <v>7970</v>
      </c>
      <c r="G93" s="25" t="s">
        <v>261</v>
      </c>
      <c r="H93" s="25"/>
      <c r="I93" s="25">
        <v>11.41</v>
      </c>
      <c r="J93" s="25">
        <v>-11.41</v>
      </c>
    </row>
    <row r="94" spans="1:10" x14ac:dyDescent="0.25">
      <c r="A94" s="25">
        <v>201040217</v>
      </c>
      <c r="B94" s="24" t="s">
        <v>146</v>
      </c>
      <c r="C94" s="25" t="s">
        <v>98</v>
      </c>
      <c r="D94" s="17">
        <v>1</v>
      </c>
      <c r="E94" s="25" t="s">
        <v>98</v>
      </c>
      <c r="F94" s="25">
        <v>8083</v>
      </c>
      <c r="G94" s="25" t="s">
        <v>262</v>
      </c>
      <c r="H94" s="25"/>
      <c r="I94" s="25">
        <v>13.2</v>
      </c>
      <c r="J94" s="25">
        <v>-13.2</v>
      </c>
    </row>
    <row r="95" spans="1:10" x14ac:dyDescent="0.25">
      <c r="A95" s="25">
        <v>201040217</v>
      </c>
      <c r="B95" s="24" t="s">
        <v>146</v>
      </c>
      <c r="C95" s="25" t="s">
        <v>149</v>
      </c>
      <c r="D95" s="25" t="s">
        <v>32</v>
      </c>
      <c r="E95" s="25" t="s">
        <v>149</v>
      </c>
      <c r="F95" s="25">
        <v>8085</v>
      </c>
      <c r="G95" s="25" t="s">
        <v>263</v>
      </c>
      <c r="H95" s="25"/>
      <c r="I95" s="25">
        <v>1.38</v>
      </c>
      <c r="J95" s="25">
        <v>-1.38</v>
      </c>
    </row>
    <row r="96" spans="1:10" x14ac:dyDescent="0.25">
      <c r="A96" s="25">
        <v>201040217</v>
      </c>
      <c r="B96" s="24" t="s">
        <v>146</v>
      </c>
      <c r="C96" s="25" t="s">
        <v>149</v>
      </c>
      <c r="D96" s="25" t="s">
        <v>32</v>
      </c>
      <c r="E96" s="25" t="s">
        <v>149</v>
      </c>
      <c r="F96" s="25">
        <v>8086</v>
      </c>
      <c r="G96" s="25" t="s">
        <v>264</v>
      </c>
      <c r="H96" s="25"/>
      <c r="I96" s="25">
        <v>11</v>
      </c>
      <c r="J96" s="25">
        <v>-11</v>
      </c>
    </row>
    <row r="97" spans="1:10" x14ac:dyDescent="0.25">
      <c r="A97" s="25">
        <v>201040217</v>
      </c>
      <c r="B97" s="24" t="s">
        <v>146</v>
      </c>
      <c r="C97" s="25" t="s">
        <v>128</v>
      </c>
      <c r="D97" s="25" t="s">
        <v>215</v>
      </c>
      <c r="E97" s="25" t="s">
        <v>175</v>
      </c>
      <c r="F97" s="25">
        <v>8089</v>
      </c>
      <c r="G97" s="25" t="s">
        <v>265</v>
      </c>
      <c r="H97" s="25"/>
      <c r="I97" s="25">
        <v>60.5</v>
      </c>
      <c r="J97" s="25">
        <v>-60.5</v>
      </c>
    </row>
    <row r="98" spans="1:10" x14ac:dyDescent="0.25">
      <c r="A98" s="25">
        <v>201040217</v>
      </c>
      <c r="B98" s="24" t="s">
        <v>146</v>
      </c>
      <c r="C98" s="25" t="s">
        <v>266</v>
      </c>
      <c r="D98" s="25" t="s">
        <v>215</v>
      </c>
      <c r="E98" s="25" t="s">
        <v>58</v>
      </c>
      <c r="F98" s="25">
        <v>8092</v>
      </c>
      <c r="G98" s="25" t="s">
        <v>267</v>
      </c>
      <c r="H98" s="25"/>
      <c r="I98" s="25">
        <v>11.94</v>
      </c>
      <c r="J98" s="25">
        <v>-11.94</v>
      </c>
    </row>
    <row r="99" spans="1:10" x14ac:dyDescent="0.25">
      <c r="A99" s="25">
        <v>201040217</v>
      </c>
      <c r="B99" s="24" t="s">
        <v>146</v>
      </c>
      <c r="C99" s="25" t="s">
        <v>60</v>
      </c>
      <c r="D99" s="25" t="s">
        <v>32</v>
      </c>
      <c r="E99" s="25" t="s">
        <v>60</v>
      </c>
      <c r="F99" s="25">
        <v>8108</v>
      </c>
      <c r="G99" s="25" t="s">
        <v>268</v>
      </c>
      <c r="H99" s="25"/>
      <c r="I99" s="25">
        <v>190.03</v>
      </c>
      <c r="J99" s="25">
        <v>-190.03</v>
      </c>
    </row>
    <row r="100" spans="1:10" x14ac:dyDescent="0.25">
      <c r="A100" s="25">
        <v>201040217</v>
      </c>
      <c r="B100" s="24" t="s">
        <v>146</v>
      </c>
      <c r="C100" s="25" t="s">
        <v>68</v>
      </c>
      <c r="D100" s="25" t="s">
        <v>215</v>
      </c>
      <c r="E100" s="25" t="s">
        <v>60</v>
      </c>
      <c r="F100" s="25">
        <v>8264</v>
      </c>
      <c r="G100" s="25" t="s">
        <v>269</v>
      </c>
      <c r="H100" s="25"/>
      <c r="I100" s="25">
        <v>4.0999999999999996</v>
      </c>
      <c r="J100" s="25">
        <v>-4.0999999999999996</v>
      </c>
    </row>
    <row r="101" spans="1:10" x14ac:dyDescent="0.25">
      <c r="A101" s="25">
        <v>201040217</v>
      </c>
      <c r="B101" s="24" t="s">
        <v>146</v>
      </c>
      <c r="C101" s="25" t="s">
        <v>68</v>
      </c>
      <c r="D101" s="25" t="s">
        <v>215</v>
      </c>
      <c r="E101" s="25" t="s">
        <v>60</v>
      </c>
      <c r="F101" s="25">
        <v>8267</v>
      </c>
      <c r="G101" s="25" t="s">
        <v>270</v>
      </c>
      <c r="H101" s="25"/>
      <c r="I101" s="25">
        <v>-4.0999999999999996</v>
      </c>
      <c r="J101" s="25">
        <v>4.0999999999999996</v>
      </c>
    </row>
    <row r="102" spans="1:10" x14ac:dyDescent="0.25">
      <c r="A102" s="25">
        <v>201040217</v>
      </c>
      <c r="B102" s="24" t="s">
        <v>146</v>
      </c>
      <c r="C102" s="25" t="s">
        <v>62</v>
      </c>
      <c r="D102" s="25" t="s">
        <v>32</v>
      </c>
      <c r="E102" s="25" t="s">
        <v>62</v>
      </c>
      <c r="F102" s="25">
        <v>8113</v>
      </c>
      <c r="G102" s="25" t="s">
        <v>271</v>
      </c>
      <c r="H102" s="25"/>
      <c r="I102" s="25">
        <v>1.65</v>
      </c>
      <c r="J102" s="25">
        <v>-1.65</v>
      </c>
    </row>
    <row r="103" spans="1:10" x14ac:dyDescent="0.25">
      <c r="A103" s="25">
        <v>201040217</v>
      </c>
      <c r="B103" s="24" t="s">
        <v>146</v>
      </c>
      <c r="C103" s="25" t="s">
        <v>62</v>
      </c>
      <c r="D103" s="25" t="s">
        <v>32</v>
      </c>
      <c r="E103" s="25" t="s">
        <v>62</v>
      </c>
      <c r="F103" s="25">
        <v>8114</v>
      </c>
      <c r="G103" s="25" t="s">
        <v>272</v>
      </c>
      <c r="H103" s="25"/>
      <c r="I103" s="25">
        <v>3.3</v>
      </c>
      <c r="J103" s="25">
        <v>-3.3</v>
      </c>
    </row>
    <row r="104" spans="1:10" x14ac:dyDescent="0.25">
      <c r="A104" s="25">
        <v>201040217</v>
      </c>
      <c r="B104" s="24" t="s">
        <v>146</v>
      </c>
      <c r="C104" s="25" t="s">
        <v>62</v>
      </c>
      <c r="D104" s="25" t="s">
        <v>32</v>
      </c>
      <c r="E104" s="25" t="s">
        <v>62</v>
      </c>
      <c r="F104" s="25">
        <v>8115</v>
      </c>
      <c r="G104" s="25" t="s">
        <v>273</v>
      </c>
      <c r="H104" s="25"/>
      <c r="I104" s="25">
        <v>3.3</v>
      </c>
      <c r="J104" s="25">
        <v>-3.3</v>
      </c>
    </row>
    <row r="105" spans="1:10" x14ac:dyDescent="0.25">
      <c r="A105" s="25">
        <v>201040217</v>
      </c>
      <c r="B105" s="24" t="s">
        <v>146</v>
      </c>
      <c r="C105" s="25" t="s">
        <v>52</v>
      </c>
      <c r="D105" s="25" t="s">
        <v>32</v>
      </c>
      <c r="E105" s="25" t="s">
        <v>52</v>
      </c>
      <c r="F105" s="25">
        <v>8312</v>
      </c>
      <c r="G105" s="25" t="s">
        <v>178</v>
      </c>
      <c r="H105" s="25">
        <v>252.27</v>
      </c>
      <c r="I105" s="25"/>
      <c r="J105" s="25">
        <v>252.27</v>
      </c>
    </row>
    <row r="106" spans="1:10" x14ac:dyDescent="0.25">
      <c r="A106" s="25">
        <v>201040217</v>
      </c>
      <c r="B106" s="24" t="s">
        <v>146</v>
      </c>
      <c r="C106" s="25" t="s">
        <v>152</v>
      </c>
      <c r="D106" s="25" t="s">
        <v>32</v>
      </c>
      <c r="E106" s="25" t="s">
        <v>152</v>
      </c>
      <c r="F106" s="25">
        <v>8262</v>
      </c>
      <c r="G106" s="25" t="s">
        <v>274</v>
      </c>
      <c r="H106" s="25"/>
      <c r="I106" s="25">
        <v>3.3</v>
      </c>
      <c r="J106" s="25">
        <v>-3.3</v>
      </c>
    </row>
    <row r="107" spans="1:10" x14ac:dyDescent="0.25">
      <c r="A107" s="25">
        <v>201040217</v>
      </c>
      <c r="B107" s="24" t="s">
        <v>146</v>
      </c>
      <c r="C107" s="25" t="s">
        <v>102</v>
      </c>
      <c r="D107" s="25" t="s">
        <v>215</v>
      </c>
      <c r="E107" s="25" t="s">
        <v>102</v>
      </c>
      <c r="F107" s="25">
        <v>8285</v>
      </c>
      <c r="G107" s="25" t="s">
        <v>275</v>
      </c>
      <c r="H107" s="25"/>
      <c r="I107" s="25">
        <v>1.38</v>
      </c>
      <c r="J107" s="25">
        <v>-1.38</v>
      </c>
    </row>
    <row r="108" spans="1:10" x14ac:dyDescent="0.25">
      <c r="A108" s="25">
        <v>201040217</v>
      </c>
      <c r="B108" s="24" t="s">
        <v>146</v>
      </c>
      <c r="C108" s="25" t="s">
        <v>101</v>
      </c>
      <c r="D108" s="25" t="s">
        <v>220</v>
      </c>
      <c r="E108" s="25" t="s">
        <v>128</v>
      </c>
      <c r="F108" s="25">
        <v>8286</v>
      </c>
      <c r="G108" s="25" t="s">
        <v>276</v>
      </c>
      <c r="H108" s="25"/>
      <c r="I108" s="25">
        <v>60.5</v>
      </c>
      <c r="J108" s="25">
        <v>-60.5</v>
      </c>
    </row>
    <row r="109" spans="1:10" x14ac:dyDescent="0.25">
      <c r="A109" s="25">
        <v>201040217</v>
      </c>
      <c r="B109" s="24" t="s">
        <v>146</v>
      </c>
      <c r="C109" s="25" t="s">
        <v>153</v>
      </c>
      <c r="D109" s="25" t="s">
        <v>215</v>
      </c>
      <c r="E109" s="25" t="s">
        <v>153</v>
      </c>
      <c r="F109" s="25">
        <v>8288</v>
      </c>
      <c r="G109" s="25" t="s">
        <v>277</v>
      </c>
      <c r="H109" s="25"/>
      <c r="I109" s="25">
        <v>0.31</v>
      </c>
      <c r="J109" s="25">
        <v>-0.31</v>
      </c>
    </row>
    <row r="110" spans="1:10" x14ac:dyDescent="0.25">
      <c r="A110" s="25">
        <v>201040217</v>
      </c>
      <c r="B110" s="24" t="s">
        <v>146</v>
      </c>
      <c r="C110" s="25" t="s">
        <v>153</v>
      </c>
      <c r="D110" s="25" t="s">
        <v>215</v>
      </c>
      <c r="E110" s="25" t="s">
        <v>153</v>
      </c>
      <c r="F110" s="25">
        <v>8289</v>
      </c>
      <c r="G110" s="25" t="s">
        <v>278</v>
      </c>
      <c r="H110" s="25"/>
      <c r="I110" s="25">
        <v>11.92</v>
      </c>
      <c r="J110" s="25">
        <v>-11.92</v>
      </c>
    </row>
    <row r="111" spans="1:10" x14ac:dyDescent="0.25">
      <c r="A111" s="25">
        <v>201040217</v>
      </c>
      <c r="B111" s="24" t="s">
        <v>146</v>
      </c>
      <c r="C111" s="25" t="s">
        <v>67</v>
      </c>
      <c r="D111" s="25" t="s">
        <v>215</v>
      </c>
      <c r="E111" s="25" t="s">
        <v>67</v>
      </c>
      <c r="F111" s="25">
        <v>8290</v>
      </c>
      <c r="G111" s="25" t="s">
        <v>279</v>
      </c>
      <c r="H111" s="25"/>
      <c r="I111" s="25">
        <v>0.82</v>
      </c>
      <c r="J111" s="25">
        <v>-0.82</v>
      </c>
    </row>
    <row r="112" spans="1:10" x14ac:dyDescent="0.25">
      <c r="A112" s="25">
        <v>201040217</v>
      </c>
      <c r="B112" s="24" t="s">
        <v>146</v>
      </c>
      <c r="C112" s="25" t="s">
        <v>67</v>
      </c>
      <c r="D112" s="25" t="s">
        <v>215</v>
      </c>
      <c r="E112" s="25" t="s">
        <v>67</v>
      </c>
      <c r="F112" s="25">
        <v>8291</v>
      </c>
      <c r="G112" s="25" t="s">
        <v>280</v>
      </c>
      <c r="H112" s="25"/>
      <c r="I112" s="25">
        <v>5.23</v>
      </c>
      <c r="J112" s="25">
        <v>-5.23</v>
      </c>
    </row>
    <row r="113" spans="1:10" x14ac:dyDescent="0.25">
      <c r="A113" s="25">
        <v>201040217</v>
      </c>
      <c r="B113" s="24" t="s">
        <v>146</v>
      </c>
      <c r="C113" s="25" t="s">
        <v>74</v>
      </c>
      <c r="D113" s="25" t="s">
        <v>220</v>
      </c>
      <c r="E113" s="25" t="s">
        <v>67</v>
      </c>
      <c r="F113" s="25">
        <v>8349</v>
      </c>
      <c r="G113" s="25" t="s">
        <v>281</v>
      </c>
      <c r="H113" s="25"/>
      <c r="I113" s="25">
        <v>11.94</v>
      </c>
      <c r="J113" s="25">
        <v>-11.94</v>
      </c>
    </row>
    <row r="114" spans="1:10" x14ac:dyDescent="0.25">
      <c r="A114" s="25">
        <v>201040217</v>
      </c>
      <c r="B114" s="24" t="s">
        <v>146</v>
      </c>
      <c r="C114" s="25" t="s">
        <v>103</v>
      </c>
      <c r="D114" s="25" t="s">
        <v>215</v>
      </c>
      <c r="E114" s="25" t="s">
        <v>103</v>
      </c>
      <c r="F114" s="25">
        <v>8348</v>
      </c>
      <c r="G114" s="25" t="s">
        <v>282</v>
      </c>
      <c r="H114" s="25"/>
      <c r="I114" s="25">
        <v>11</v>
      </c>
      <c r="J114" s="25">
        <v>-11</v>
      </c>
    </row>
    <row r="115" spans="1:10" x14ac:dyDescent="0.25">
      <c r="A115" s="25">
        <v>201040217</v>
      </c>
      <c r="B115" s="24" t="s">
        <v>146</v>
      </c>
      <c r="C115" s="25" t="s">
        <v>68</v>
      </c>
      <c r="D115" s="25" t="s">
        <v>215</v>
      </c>
      <c r="E115" s="25" t="s">
        <v>68</v>
      </c>
      <c r="F115" s="25">
        <v>8351</v>
      </c>
      <c r="G115" s="25" t="s">
        <v>283</v>
      </c>
      <c r="H115" s="25"/>
      <c r="I115" s="25">
        <v>55</v>
      </c>
      <c r="J115" s="25">
        <v>-55</v>
      </c>
    </row>
    <row r="116" spans="1:10" x14ac:dyDescent="0.25">
      <c r="A116" s="25">
        <v>201040217</v>
      </c>
      <c r="B116" s="24" t="s">
        <v>146</v>
      </c>
      <c r="C116" s="25" t="s">
        <v>104</v>
      </c>
      <c r="D116" s="25" t="s">
        <v>215</v>
      </c>
      <c r="E116" s="25" t="s">
        <v>284</v>
      </c>
      <c r="F116" s="25">
        <v>8322</v>
      </c>
      <c r="G116" s="25" t="s">
        <v>285</v>
      </c>
      <c r="H116" s="25"/>
      <c r="I116" s="25">
        <v>13.63</v>
      </c>
      <c r="J116" s="25">
        <v>-13.63</v>
      </c>
    </row>
    <row r="117" spans="1:10" x14ac:dyDescent="0.25">
      <c r="A117" s="25">
        <v>201040217</v>
      </c>
      <c r="B117" s="24" t="s">
        <v>146</v>
      </c>
      <c r="C117" s="25" t="s">
        <v>104</v>
      </c>
      <c r="D117" s="25" t="s">
        <v>215</v>
      </c>
      <c r="E117" s="25" t="s">
        <v>104</v>
      </c>
      <c r="F117" s="25">
        <v>8321</v>
      </c>
      <c r="G117" s="25" t="s">
        <v>286</v>
      </c>
      <c r="H117" s="25"/>
      <c r="I117" s="25">
        <v>16.5</v>
      </c>
      <c r="J117" s="25">
        <v>-16.5</v>
      </c>
    </row>
    <row r="118" spans="1:10" x14ac:dyDescent="0.25">
      <c r="A118" s="25">
        <v>201040217</v>
      </c>
      <c r="B118" s="24" t="s">
        <v>146</v>
      </c>
      <c r="C118" s="25" t="s">
        <v>105</v>
      </c>
      <c r="D118" s="25" t="s">
        <v>215</v>
      </c>
      <c r="E118" s="25" t="s">
        <v>105</v>
      </c>
      <c r="F118" s="25">
        <v>8334</v>
      </c>
      <c r="G118" s="25" t="s">
        <v>287</v>
      </c>
      <c r="H118" s="25"/>
      <c r="I118" s="25">
        <v>1.65</v>
      </c>
      <c r="J118" s="25">
        <v>-1.65</v>
      </c>
    </row>
    <row r="119" spans="1:10" x14ac:dyDescent="0.25">
      <c r="A119" s="25">
        <v>201040217</v>
      </c>
      <c r="B119" s="24" t="s">
        <v>146</v>
      </c>
      <c r="C119" s="25" t="s">
        <v>69</v>
      </c>
      <c r="D119" s="25" t="s">
        <v>215</v>
      </c>
      <c r="E119" s="25" t="s">
        <v>69</v>
      </c>
      <c r="F119" s="25">
        <v>8369</v>
      </c>
      <c r="G119" s="25" t="s">
        <v>180</v>
      </c>
      <c r="H119" s="25">
        <v>286.39999999999998</v>
      </c>
      <c r="I119" s="25"/>
      <c r="J119" s="25">
        <v>286.39999999999998</v>
      </c>
    </row>
    <row r="120" spans="1:10" x14ac:dyDescent="0.25">
      <c r="A120" s="25">
        <v>201040217</v>
      </c>
      <c r="B120" s="24" t="s">
        <v>146</v>
      </c>
      <c r="C120" s="25" t="s">
        <v>72</v>
      </c>
      <c r="D120" s="25" t="s">
        <v>220</v>
      </c>
      <c r="E120" s="25" t="s">
        <v>72</v>
      </c>
      <c r="F120" s="25">
        <v>8407</v>
      </c>
      <c r="G120" s="25" t="s">
        <v>288</v>
      </c>
      <c r="H120" s="25"/>
      <c r="I120" s="25">
        <v>1.38</v>
      </c>
      <c r="J120" s="25">
        <v>-1.38</v>
      </c>
    </row>
    <row r="121" spans="1:10" x14ac:dyDescent="0.25">
      <c r="A121" s="25">
        <v>201040217</v>
      </c>
      <c r="B121" s="24" t="s">
        <v>146</v>
      </c>
      <c r="C121" s="25" t="s">
        <v>72</v>
      </c>
      <c r="D121" s="25" t="s">
        <v>220</v>
      </c>
      <c r="E121" s="25" t="s">
        <v>72</v>
      </c>
      <c r="F121" s="25">
        <v>8409</v>
      </c>
      <c r="G121" s="25" t="s">
        <v>289</v>
      </c>
      <c r="H121" s="25"/>
      <c r="I121" s="25">
        <v>1.65</v>
      </c>
      <c r="J121" s="25">
        <v>-1.65</v>
      </c>
    </row>
    <row r="122" spans="1:10" x14ac:dyDescent="0.25">
      <c r="A122" s="25">
        <v>201040217</v>
      </c>
      <c r="B122" s="24" t="s">
        <v>146</v>
      </c>
      <c r="C122" s="25" t="s">
        <v>72</v>
      </c>
      <c r="D122" s="25" t="s">
        <v>220</v>
      </c>
      <c r="E122" s="25" t="s">
        <v>72</v>
      </c>
      <c r="F122" s="25">
        <v>8411</v>
      </c>
      <c r="G122" s="25" t="s">
        <v>290</v>
      </c>
      <c r="H122" s="25"/>
      <c r="I122" s="25">
        <v>1.65</v>
      </c>
      <c r="J122" s="25">
        <v>-1.65</v>
      </c>
    </row>
    <row r="123" spans="1:10" x14ac:dyDescent="0.25">
      <c r="A123" s="25">
        <v>201040217</v>
      </c>
      <c r="B123" s="24" t="s">
        <v>146</v>
      </c>
      <c r="C123" s="25" t="s">
        <v>72</v>
      </c>
      <c r="D123" s="25" t="s">
        <v>220</v>
      </c>
      <c r="E123" s="25" t="s">
        <v>72</v>
      </c>
      <c r="F123" s="25">
        <v>8477</v>
      </c>
      <c r="G123" s="25" t="s">
        <v>291</v>
      </c>
      <c r="H123" s="25"/>
      <c r="I123" s="25">
        <v>70.13</v>
      </c>
      <c r="J123" s="25">
        <v>-70.13</v>
      </c>
    </row>
    <row r="124" spans="1:10" x14ac:dyDescent="0.25">
      <c r="A124" s="25">
        <v>201040217</v>
      </c>
      <c r="B124" s="24" t="s">
        <v>146</v>
      </c>
      <c r="C124" s="25" t="s">
        <v>154</v>
      </c>
      <c r="D124" s="25" t="s">
        <v>218</v>
      </c>
      <c r="E124" s="25" t="s">
        <v>73</v>
      </c>
      <c r="F124" s="25">
        <v>8474</v>
      </c>
      <c r="G124" s="25" t="s">
        <v>292</v>
      </c>
      <c r="H124" s="25"/>
      <c r="I124" s="25">
        <v>60.5</v>
      </c>
      <c r="J124" s="25">
        <v>-60.5</v>
      </c>
    </row>
    <row r="125" spans="1:10" x14ac:dyDescent="0.25">
      <c r="A125" s="25">
        <v>201040217</v>
      </c>
      <c r="B125" s="24" t="s">
        <v>146</v>
      </c>
      <c r="C125" s="25" t="s">
        <v>74</v>
      </c>
      <c r="D125" s="25" t="s">
        <v>220</v>
      </c>
      <c r="E125" s="25" t="s">
        <v>74</v>
      </c>
      <c r="F125" s="25">
        <v>8417</v>
      </c>
      <c r="G125" s="25" t="s">
        <v>293</v>
      </c>
      <c r="H125" s="25"/>
      <c r="I125" s="25">
        <v>6.14</v>
      </c>
      <c r="J125" s="25">
        <v>-6.14</v>
      </c>
    </row>
    <row r="126" spans="1:10" x14ac:dyDescent="0.25">
      <c r="A126" s="25">
        <v>201040217</v>
      </c>
      <c r="B126" s="24" t="s">
        <v>146</v>
      </c>
      <c r="C126" s="25" t="s">
        <v>74</v>
      </c>
      <c r="D126" s="25" t="s">
        <v>220</v>
      </c>
      <c r="E126" s="25" t="s">
        <v>74</v>
      </c>
      <c r="F126" s="25">
        <v>8478</v>
      </c>
      <c r="G126" s="25" t="s">
        <v>294</v>
      </c>
      <c r="H126" s="25"/>
      <c r="I126" s="25">
        <v>16.47</v>
      </c>
      <c r="J126" s="25">
        <v>-16.47</v>
      </c>
    </row>
    <row r="127" spans="1:10" x14ac:dyDescent="0.25">
      <c r="A127" s="25">
        <v>201040217</v>
      </c>
      <c r="B127" s="24" t="s">
        <v>146</v>
      </c>
      <c r="C127" s="25" t="s">
        <v>76</v>
      </c>
      <c r="D127" s="25" t="s">
        <v>220</v>
      </c>
      <c r="E127" s="25" t="s">
        <v>76</v>
      </c>
      <c r="F127" s="25">
        <v>8418</v>
      </c>
      <c r="G127" s="25" t="s">
        <v>295</v>
      </c>
      <c r="H127" s="25"/>
      <c r="I127" s="25">
        <v>1.65</v>
      </c>
      <c r="J127" s="25">
        <v>-1.65</v>
      </c>
    </row>
    <row r="128" spans="1:10" x14ac:dyDescent="0.25">
      <c r="A128" s="25">
        <v>201040217</v>
      </c>
      <c r="B128" s="24" t="s">
        <v>146</v>
      </c>
      <c r="C128" s="25" t="s">
        <v>76</v>
      </c>
      <c r="D128" s="25" t="s">
        <v>220</v>
      </c>
      <c r="E128" s="25" t="s">
        <v>76</v>
      </c>
      <c r="F128" s="25">
        <v>8419</v>
      </c>
      <c r="G128" s="25" t="s">
        <v>296</v>
      </c>
      <c r="H128" s="25"/>
      <c r="I128" s="25">
        <v>1.65</v>
      </c>
      <c r="J128" s="25">
        <v>-1.65</v>
      </c>
    </row>
    <row r="129" spans="1:10" x14ac:dyDescent="0.25">
      <c r="A129" s="25">
        <v>201040217</v>
      </c>
      <c r="B129" s="24" t="s">
        <v>146</v>
      </c>
      <c r="C129" s="25" t="s">
        <v>76</v>
      </c>
      <c r="D129" s="25" t="s">
        <v>220</v>
      </c>
      <c r="E129" s="25" t="s">
        <v>76</v>
      </c>
      <c r="F129" s="25">
        <v>8475</v>
      </c>
      <c r="G129" s="25" t="s">
        <v>297</v>
      </c>
      <c r="H129" s="25"/>
      <c r="I129" s="25">
        <v>1.65</v>
      </c>
      <c r="J129" s="25">
        <v>-1.65</v>
      </c>
    </row>
    <row r="130" spans="1:10" x14ac:dyDescent="0.25">
      <c r="A130" s="25">
        <v>201040217</v>
      </c>
      <c r="B130" s="24" t="s">
        <v>146</v>
      </c>
      <c r="C130" s="25" t="s">
        <v>86</v>
      </c>
      <c r="D130" s="25" t="s">
        <v>218</v>
      </c>
      <c r="E130" s="25" t="s">
        <v>78</v>
      </c>
      <c r="F130" s="25">
        <v>8420</v>
      </c>
      <c r="G130" s="25" t="s">
        <v>298</v>
      </c>
      <c r="H130" s="25"/>
      <c r="I130" s="25">
        <v>11.94</v>
      </c>
      <c r="J130" s="25">
        <v>-11.94</v>
      </c>
    </row>
    <row r="131" spans="1:10" x14ac:dyDescent="0.25">
      <c r="A131" s="25">
        <v>201040217</v>
      </c>
      <c r="B131" s="24" t="s">
        <v>146</v>
      </c>
      <c r="C131" s="25" t="s">
        <v>78</v>
      </c>
      <c r="D131" s="25" t="s">
        <v>220</v>
      </c>
      <c r="E131" s="25" t="s">
        <v>78</v>
      </c>
      <c r="F131" s="25">
        <v>8479</v>
      </c>
      <c r="G131" s="25" t="s">
        <v>299</v>
      </c>
      <c r="H131" s="25"/>
      <c r="I131" s="25">
        <v>17.11</v>
      </c>
      <c r="J131" s="25">
        <v>-17.11</v>
      </c>
    </row>
    <row r="132" spans="1:10" x14ac:dyDescent="0.25">
      <c r="A132" s="25">
        <v>201040217</v>
      </c>
      <c r="B132" s="24" t="s">
        <v>146</v>
      </c>
      <c r="C132" s="25" t="s">
        <v>78</v>
      </c>
      <c r="D132" s="25" t="s">
        <v>220</v>
      </c>
      <c r="E132" s="25" t="s">
        <v>78</v>
      </c>
      <c r="F132" s="25">
        <v>8480</v>
      </c>
      <c r="G132" s="25" t="s">
        <v>300</v>
      </c>
      <c r="H132" s="25"/>
      <c r="I132" s="25">
        <v>13.24</v>
      </c>
      <c r="J132" s="25">
        <v>-13.24</v>
      </c>
    </row>
    <row r="133" spans="1:10" x14ac:dyDescent="0.25">
      <c r="A133" s="25">
        <v>201040217</v>
      </c>
      <c r="B133" s="24" t="s">
        <v>146</v>
      </c>
      <c r="C133" s="25" t="s">
        <v>78</v>
      </c>
      <c r="D133" s="25" t="s">
        <v>220</v>
      </c>
      <c r="E133" s="25" t="s">
        <v>78</v>
      </c>
      <c r="F133" s="25">
        <v>8572</v>
      </c>
      <c r="G133" s="25" t="s">
        <v>186</v>
      </c>
      <c r="H133" s="25">
        <v>189.86</v>
      </c>
      <c r="I133" s="25"/>
      <c r="J133" s="25">
        <v>189.86</v>
      </c>
    </row>
    <row r="134" spans="1:10" x14ac:dyDescent="0.25">
      <c r="A134" s="25">
        <v>201040217</v>
      </c>
      <c r="B134" s="24" t="s">
        <v>146</v>
      </c>
      <c r="C134" s="25" t="s">
        <v>110</v>
      </c>
      <c r="D134" s="25" t="s">
        <v>220</v>
      </c>
      <c r="E134" s="25" t="s">
        <v>110</v>
      </c>
      <c r="F134" s="25">
        <v>8444</v>
      </c>
      <c r="G134" s="25" t="s">
        <v>301</v>
      </c>
      <c r="H134" s="25"/>
      <c r="I134" s="25">
        <v>1.28</v>
      </c>
      <c r="J134" s="25">
        <v>-1.28</v>
      </c>
    </row>
    <row r="135" spans="1:10" x14ac:dyDescent="0.25">
      <c r="A135" s="25">
        <v>201040217</v>
      </c>
      <c r="B135" s="24" t="s">
        <v>146</v>
      </c>
      <c r="C135" s="25" t="s">
        <v>80</v>
      </c>
      <c r="D135" s="25" t="s">
        <v>218</v>
      </c>
      <c r="E135" s="25" t="s">
        <v>82</v>
      </c>
      <c r="F135" s="25">
        <v>8521</v>
      </c>
      <c r="G135" s="25" t="s">
        <v>302</v>
      </c>
      <c r="H135" s="25"/>
      <c r="I135" s="25">
        <v>70.13</v>
      </c>
      <c r="J135" s="25">
        <v>-70.13</v>
      </c>
    </row>
    <row r="136" spans="1:10" x14ac:dyDescent="0.25">
      <c r="A136" s="25">
        <v>201040217</v>
      </c>
      <c r="B136" s="24" t="s">
        <v>146</v>
      </c>
      <c r="C136" s="25" t="s">
        <v>80</v>
      </c>
      <c r="D136" s="25" t="s">
        <v>218</v>
      </c>
      <c r="E136" s="25" t="s">
        <v>82</v>
      </c>
      <c r="F136" s="25">
        <v>8522</v>
      </c>
      <c r="G136" s="25" t="s">
        <v>303</v>
      </c>
      <c r="H136" s="25"/>
      <c r="I136" s="25">
        <v>70.13</v>
      </c>
      <c r="J136" s="25">
        <v>-70.13</v>
      </c>
    </row>
    <row r="137" spans="1:10" x14ac:dyDescent="0.25">
      <c r="A137" s="25">
        <v>201040217</v>
      </c>
      <c r="B137" s="24" t="s">
        <v>146</v>
      </c>
      <c r="C137" s="25" t="s">
        <v>80</v>
      </c>
      <c r="D137" s="25" t="s">
        <v>218</v>
      </c>
      <c r="E137" s="25" t="s">
        <v>82</v>
      </c>
      <c r="F137" s="25">
        <v>8523</v>
      </c>
      <c r="G137" s="25" t="s">
        <v>304</v>
      </c>
      <c r="H137" s="25"/>
      <c r="I137" s="25">
        <v>70.13</v>
      </c>
      <c r="J137" s="25">
        <v>-70.13</v>
      </c>
    </row>
    <row r="138" spans="1:10" x14ac:dyDescent="0.25">
      <c r="A138" s="25">
        <v>201040217</v>
      </c>
      <c r="B138" s="24" t="s">
        <v>146</v>
      </c>
      <c r="C138" s="25" t="s">
        <v>80</v>
      </c>
      <c r="D138" s="25" t="s">
        <v>218</v>
      </c>
      <c r="E138" s="25" t="s">
        <v>82</v>
      </c>
      <c r="F138" s="25">
        <v>8524</v>
      </c>
      <c r="G138" s="25" t="s">
        <v>305</v>
      </c>
      <c r="H138" s="25"/>
      <c r="I138" s="25">
        <v>70.13</v>
      </c>
      <c r="J138" s="25">
        <v>-70.13</v>
      </c>
    </row>
    <row r="139" spans="1:10" x14ac:dyDescent="0.25">
      <c r="A139" s="25">
        <v>201040217</v>
      </c>
      <c r="B139" s="24" t="s">
        <v>146</v>
      </c>
      <c r="C139" s="25" t="s">
        <v>80</v>
      </c>
      <c r="D139" s="25" t="s">
        <v>218</v>
      </c>
      <c r="E139" s="25" t="s">
        <v>82</v>
      </c>
      <c r="F139" s="25">
        <v>8525</v>
      </c>
      <c r="G139" s="25" t="s">
        <v>306</v>
      </c>
      <c r="H139" s="25"/>
      <c r="I139" s="25">
        <v>14.05</v>
      </c>
      <c r="J139" s="25">
        <v>-14.05</v>
      </c>
    </row>
    <row r="140" spans="1:10" x14ac:dyDescent="0.25">
      <c r="A140" s="25">
        <v>201040217</v>
      </c>
      <c r="B140" s="24" t="s">
        <v>146</v>
      </c>
      <c r="C140" s="25" t="s">
        <v>80</v>
      </c>
      <c r="D140" s="25" t="s">
        <v>218</v>
      </c>
      <c r="E140" s="25" t="s">
        <v>82</v>
      </c>
      <c r="F140" s="25">
        <v>8526</v>
      </c>
      <c r="G140" s="25" t="s">
        <v>307</v>
      </c>
      <c r="H140" s="25"/>
      <c r="I140" s="25">
        <v>10.92</v>
      </c>
      <c r="J140" s="25">
        <v>-10.92</v>
      </c>
    </row>
    <row r="141" spans="1:10" x14ac:dyDescent="0.25">
      <c r="A141" s="25">
        <v>201040217</v>
      </c>
      <c r="B141" s="24" t="s">
        <v>146</v>
      </c>
      <c r="C141" s="25" t="s">
        <v>80</v>
      </c>
      <c r="D141" s="25" t="s">
        <v>218</v>
      </c>
      <c r="E141" s="25" t="s">
        <v>82</v>
      </c>
      <c r="F141" s="25">
        <v>8527</v>
      </c>
      <c r="G141" s="25" t="s">
        <v>308</v>
      </c>
      <c r="H141" s="25"/>
      <c r="I141" s="25">
        <v>7.51</v>
      </c>
      <c r="J141" s="25">
        <v>-7.51</v>
      </c>
    </row>
    <row r="142" spans="1:10" x14ac:dyDescent="0.25">
      <c r="A142" s="25">
        <v>201040217</v>
      </c>
      <c r="B142" s="24" t="s">
        <v>146</v>
      </c>
      <c r="C142" s="25" t="s">
        <v>80</v>
      </c>
      <c r="D142" s="25" t="s">
        <v>218</v>
      </c>
      <c r="E142" s="25" t="s">
        <v>82</v>
      </c>
      <c r="F142" s="25">
        <v>8528</v>
      </c>
      <c r="G142" s="25" t="s">
        <v>309</v>
      </c>
      <c r="H142" s="25"/>
      <c r="I142" s="25">
        <v>17.88</v>
      </c>
      <c r="J142" s="25">
        <v>-17.88</v>
      </c>
    </row>
    <row r="143" spans="1:10" x14ac:dyDescent="0.25">
      <c r="A143" s="25">
        <v>201040217</v>
      </c>
      <c r="B143" s="24" t="s">
        <v>146</v>
      </c>
      <c r="C143" s="25" t="s">
        <v>80</v>
      </c>
      <c r="D143" s="25" t="s">
        <v>218</v>
      </c>
      <c r="E143" s="25" t="s">
        <v>82</v>
      </c>
      <c r="F143" s="25">
        <v>8529</v>
      </c>
      <c r="G143" s="25" t="s">
        <v>310</v>
      </c>
      <c r="H143" s="25"/>
      <c r="I143" s="25">
        <v>15.46</v>
      </c>
      <c r="J143" s="25">
        <v>-15.46</v>
      </c>
    </row>
    <row r="144" spans="1:10" x14ac:dyDescent="0.25">
      <c r="A144" s="25">
        <v>201040217</v>
      </c>
      <c r="B144" s="24" t="s">
        <v>146</v>
      </c>
      <c r="C144" s="25" t="s">
        <v>80</v>
      </c>
      <c r="D144" s="25" t="s">
        <v>218</v>
      </c>
      <c r="E144" s="25" t="s">
        <v>82</v>
      </c>
      <c r="F144" s="25">
        <v>8530</v>
      </c>
      <c r="G144" s="25" t="s">
        <v>311</v>
      </c>
      <c r="H144" s="25"/>
      <c r="I144" s="25">
        <v>-14.05</v>
      </c>
      <c r="J144" s="25">
        <v>14.05</v>
      </c>
    </row>
    <row r="145" spans="1:10" x14ac:dyDescent="0.25">
      <c r="A145" s="25">
        <v>201040217</v>
      </c>
      <c r="B145" s="24" t="s">
        <v>146</v>
      </c>
      <c r="C145" s="25" t="s">
        <v>80</v>
      </c>
      <c r="D145" s="25" t="s">
        <v>218</v>
      </c>
      <c r="E145" s="25" t="s">
        <v>82</v>
      </c>
      <c r="F145" s="25">
        <v>8531</v>
      </c>
      <c r="G145" s="25" t="s">
        <v>306</v>
      </c>
      <c r="H145" s="25"/>
      <c r="I145" s="25">
        <v>14.05</v>
      </c>
      <c r="J145" s="25">
        <v>-14.05</v>
      </c>
    </row>
    <row r="146" spans="1:10" x14ac:dyDescent="0.25">
      <c r="A146" s="25">
        <v>201040217</v>
      </c>
      <c r="B146" s="24" t="s">
        <v>146</v>
      </c>
      <c r="C146" s="25" t="s">
        <v>83</v>
      </c>
      <c r="D146" s="25" t="s">
        <v>218</v>
      </c>
      <c r="E146" s="25" t="s">
        <v>83</v>
      </c>
      <c r="F146" s="25">
        <v>8486</v>
      </c>
      <c r="G146" s="25" t="s">
        <v>312</v>
      </c>
      <c r="H146" s="25"/>
      <c r="I146" s="25">
        <v>6.27</v>
      </c>
      <c r="J146" s="25">
        <v>-6.27</v>
      </c>
    </row>
    <row r="147" spans="1:10" x14ac:dyDescent="0.25">
      <c r="A147" s="25">
        <v>201040217</v>
      </c>
      <c r="B147" s="24" t="s">
        <v>146</v>
      </c>
      <c r="C147" s="25" t="s">
        <v>83</v>
      </c>
      <c r="D147" s="25" t="s">
        <v>218</v>
      </c>
      <c r="E147" s="25" t="s">
        <v>83</v>
      </c>
      <c r="F147" s="25">
        <v>8497</v>
      </c>
      <c r="G147" s="25" t="s">
        <v>313</v>
      </c>
      <c r="H147" s="25"/>
      <c r="I147" s="25">
        <v>1.38</v>
      </c>
      <c r="J147" s="25">
        <v>-1.38</v>
      </c>
    </row>
    <row r="148" spans="1:10" x14ac:dyDescent="0.25">
      <c r="A148" s="25">
        <v>201040217</v>
      </c>
      <c r="B148" s="24" t="s">
        <v>146</v>
      </c>
      <c r="C148" s="25" t="s">
        <v>129</v>
      </c>
      <c r="D148" s="25" t="s">
        <v>218</v>
      </c>
      <c r="E148" s="25" t="s">
        <v>129</v>
      </c>
      <c r="F148" s="25">
        <v>8467</v>
      </c>
      <c r="G148" s="25" t="s">
        <v>314</v>
      </c>
      <c r="H148" s="25"/>
      <c r="I148" s="25">
        <v>125.95</v>
      </c>
      <c r="J148" s="25">
        <v>-125.95</v>
      </c>
    </row>
    <row r="149" spans="1:10" x14ac:dyDescent="0.25">
      <c r="A149" s="25">
        <v>201040217</v>
      </c>
      <c r="B149" s="24" t="s">
        <v>146</v>
      </c>
      <c r="C149" s="25" t="s">
        <v>158</v>
      </c>
      <c r="D149" s="25" t="s">
        <v>227</v>
      </c>
      <c r="E149" s="25" t="s">
        <v>129</v>
      </c>
      <c r="F149" s="25">
        <v>8501</v>
      </c>
      <c r="G149" s="25" t="s">
        <v>315</v>
      </c>
      <c r="H149" s="25"/>
      <c r="I149" s="25">
        <v>60.5</v>
      </c>
      <c r="J149" s="25">
        <v>-60.5</v>
      </c>
    </row>
    <row r="150" spans="1:10" x14ac:dyDescent="0.25">
      <c r="A150" s="25">
        <v>201040217</v>
      </c>
      <c r="B150" s="24" t="s">
        <v>146</v>
      </c>
      <c r="C150" s="25" t="s">
        <v>90</v>
      </c>
      <c r="D150" s="25" t="s">
        <v>227</v>
      </c>
      <c r="E150" s="25" t="s">
        <v>156</v>
      </c>
      <c r="F150" s="25">
        <v>8502</v>
      </c>
      <c r="G150" s="25" t="s">
        <v>316</v>
      </c>
      <c r="H150" s="25"/>
      <c r="I150" s="25">
        <v>2.75</v>
      </c>
      <c r="J150" s="25">
        <v>-2.75</v>
      </c>
    </row>
    <row r="151" spans="1:10" x14ac:dyDescent="0.25">
      <c r="A151" s="25">
        <v>201040217</v>
      </c>
      <c r="B151" s="24" t="s">
        <v>146</v>
      </c>
      <c r="C151" s="25" t="s">
        <v>85</v>
      </c>
      <c r="D151" s="25" t="s">
        <v>218</v>
      </c>
      <c r="E151" s="25" t="s">
        <v>85</v>
      </c>
      <c r="F151" s="25">
        <v>8613</v>
      </c>
      <c r="G151" s="25" t="s">
        <v>317</v>
      </c>
      <c r="H151" s="25"/>
      <c r="I151" s="25">
        <v>3.3</v>
      </c>
      <c r="J151" s="25">
        <v>-3.3</v>
      </c>
    </row>
    <row r="152" spans="1:10" x14ac:dyDescent="0.25">
      <c r="A152" s="25">
        <v>201040217</v>
      </c>
      <c r="B152" s="24" t="s">
        <v>146</v>
      </c>
      <c r="C152" s="25" t="s">
        <v>91</v>
      </c>
      <c r="D152" s="25" t="s">
        <v>227</v>
      </c>
      <c r="E152" s="25" t="s">
        <v>86</v>
      </c>
      <c r="F152" s="25">
        <v>8610</v>
      </c>
      <c r="G152" s="25" t="s">
        <v>318</v>
      </c>
      <c r="H152" s="25"/>
      <c r="I152" s="25">
        <v>11.94</v>
      </c>
      <c r="J152" s="25">
        <v>-11.94</v>
      </c>
    </row>
    <row r="153" spans="1:10" x14ac:dyDescent="0.25">
      <c r="A153" s="25">
        <v>201040217</v>
      </c>
      <c r="B153" s="24" t="s">
        <v>146</v>
      </c>
      <c r="C153" s="25" t="s">
        <v>86</v>
      </c>
      <c r="D153" s="25" t="s">
        <v>218</v>
      </c>
      <c r="E153" s="25" t="s">
        <v>86</v>
      </c>
      <c r="F153" s="25">
        <v>8611</v>
      </c>
      <c r="G153" s="25" t="s">
        <v>319</v>
      </c>
      <c r="H153" s="25"/>
      <c r="I153" s="25">
        <v>1.65</v>
      </c>
      <c r="J153" s="25">
        <v>-1.65</v>
      </c>
    </row>
    <row r="154" spans="1:10" x14ac:dyDescent="0.25">
      <c r="A154" s="25">
        <v>201040217</v>
      </c>
      <c r="B154" s="24" t="s">
        <v>146</v>
      </c>
      <c r="C154" s="25" t="s">
        <v>86</v>
      </c>
      <c r="D154" s="25" t="s">
        <v>218</v>
      </c>
      <c r="E154" s="25" t="s">
        <v>86</v>
      </c>
      <c r="F154" s="25">
        <v>8661</v>
      </c>
      <c r="G154" s="25" t="s">
        <v>187</v>
      </c>
      <c r="H154" s="25">
        <v>206.44</v>
      </c>
      <c r="I154" s="25"/>
      <c r="J154" s="25">
        <v>206.44</v>
      </c>
    </row>
    <row r="155" spans="1:10" x14ac:dyDescent="0.25">
      <c r="A155" s="25">
        <v>201040217</v>
      </c>
      <c r="B155" s="24" t="s">
        <v>146</v>
      </c>
      <c r="C155" s="25" t="s">
        <v>87</v>
      </c>
      <c r="D155" s="25" t="s">
        <v>218</v>
      </c>
      <c r="E155" s="25" t="s">
        <v>87</v>
      </c>
      <c r="F155" s="25">
        <v>8612</v>
      </c>
      <c r="G155" s="25" t="s">
        <v>320</v>
      </c>
      <c r="H155" s="25"/>
      <c r="I155" s="25">
        <v>1.65</v>
      </c>
      <c r="J155" s="25">
        <v>-1.65</v>
      </c>
    </row>
    <row r="156" spans="1:10" x14ac:dyDescent="0.25">
      <c r="A156" s="25">
        <v>201040217</v>
      </c>
      <c r="B156" s="24" t="s">
        <v>146</v>
      </c>
      <c r="C156" s="25" t="s">
        <v>87</v>
      </c>
      <c r="D156" s="25" t="s">
        <v>218</v>
      </c>
      <c r="E156" s="25" t="s">
        <v>87</v>
      </c>
      <c r="F156" s="25">
        <v>8615</v>
      </c>
      <c r="G156" s="25" t="s">
        <v>321</v>
      </c>
      <c r="H156" s="25"/>
      <c r="I156" s="25">
        <v>8.25</v>
      </c>
      <c r="J156" s="25">
        <v>-8.25</v>
      </c>
    </row>
    <row r="157" spans="1:10" x14ac:dyDescent="0.25">
      <c r="A157" s="25">
        <v>201040217</v>
      </c>
      <c r="B157" s="24" t="s">
        <v>146</v>
      </c>
      <c r="C157" s="25" t="s">
        <v>130</v>
      </c>
      <c r="D157" s="25" t="s">
        <v>218</v>
      </c>
      <c r="E157" s="25" t="s">
        <v>130</v>
      </c>
      <c r="F157" s="25">
        <v>8614</v>
      </c>
      <c r="G157" s="25" t="s">
        <v>322</v>
      </c>
      <c r="H157" s="25"/>
      <c r="I157" s="25">
        <v>3.3</v>
      </c>
      <c r="J157" s="25">
        <v>-3.3</v>
      </c>
    </row>
    <row r="158" spans="1:10" x14ac:dyDescent="0.25">
      <c r="A158" s="25">
        <v>201040217</v>
      </c>
      <c r="B158" s="24" t="s">
        <v>146</v>
      </c>
      <c r="C158" s="25" t="s">
        <v>157</v>
      </c>
      <c r="D158" s="25" t="s">
        <v>218</v>
      </c>
      <c r="E158" s="25" t="s">
        <v>157</v>
      </c>
      <c r="F158" s="25">
        <v>8678</v>
      </c>
      <c r="G158" s="25" t="s">
        <v>323</v>
      </c>
      <c r="H158" s="25"/>
      <c r="I158" s="25">
        <v>28.88</v>
      </c>
      <c r="J158" s="25">
        <v>-28.88</v>
      </c>
    </row>
    <row r="159" spans="1:10" x14ac:dyDescent="0.25">
      <c r="A159" s="25">
        <v>201040217</v>
      </c>
      <c r="B159" s="24" t="s">
        <v>146</v>
      </c>
      <c r="C159" s="25" t="s">
        <v>112</v>
      </c>
      <c r="D159" s="25" t="s">
        <v>227</v>
      </c>
      <c r="E159" s="25" t="s">
        <v>112</v>
      </c>
      <c r="F159" s="25">
        <v>8689</v>
      </c>
      <c r="G159" s="25" t="s">
        <v>324</v>
      </c>
      <c r="H159" s="25"/>
      <c r="I159" s="25">
        <v>1.69</v>
      </c>
      <c r="J159" s="25">
        <v>-1.69</v>
      </c>
    </row>
    <row r="160" spans="1:10" x14ac:dyDescent="0.25">
      <c r="A160" s="25">
        <v>201040217</v>
      </c>
      <c r="B160" s="24" t="s">
        <v>146</v>
      </c>
      <c r="C160" s="25" t="s">
        <v>112</v>
      </c>
      <c r="D160" s="25" t="s">
        <v>227</v>
      </c>
      <c r="E160" s="25" t="s">
        <v>112</v>
      </c>
      <c r="F160" s="25">
        <v>8690</v>
      </c>
      <c r="G160" s="25" t="s">
        <v>325</v>
      </c>
      <c r="H160" s="25"/>
      <c r="I160" s="25">
        <v>1.65</v>
      </c>
      <c r="J160" s="25">
        <v>-1.65</v>
      </c>
    </row>
    <row r="161" spans="1:10" x14ac:dyDescent="0.25">
      <c r="A161" s="25">
        <v>201040217</v>
      </c>
      <c r="B161" s="24" t="s">
        <v>146</v>
      </c>
      <c r="C161" s="25" t="s">
        <v>112</v>
      </c>
      <c r="D161" s="25" t="s">
        <v>227</v>
      </c>
      <c r="E161" s="25" t="s">
        <v>112</v>
      </c>
      <c r="F161" s="25">
        <v>8691</v>
      </c>
      <c r="G161" s="25" t="s">
        <v>326</v>
      </c>
      <c r="H161" s="25"/>
      <c r="I161" s="25">
        <v>1.69</v>
      </c>
      <c r="J161" s="25">
        <v>-1.69</v>
      </c>
    </row>
    <row r="162" spans="1:10" x14ac:dyDescent="0.25">
      <c r="A162" s="25">
        <v>201040217</v>
      </c>
      <c r="B162" s="24" t="s">
        <v>146</v>
      </c>
      <c r="C162" s="25" t="s">
        <v>112</v>
      </c>
      <c r="D162" s="25" t="s">
        <v>227</v>
      </c>
      <c r="E162" s="25" t="s">
        <v>112</v>
      </c>
      <c r="F162" s="25">
        <v>8753</v>
      </c>
      <c r="G162" s="25" t="s">
        <v>327</v>
      </c>
      <c r="H162" s="25"/>
      <c r="I162" s="25">
        <v>70.13</v>
      </c>
      <c r="J162" s="25">
        <v>-70.13</v>
      </c>
    </row>
    <row r="163" spans="1:10" x14ac:dyDescent="0.25">
      <c r="A163" s="25">
        <v>201040217</v>
      </c>
      <c r="B163" s="24" t="s">
        <v>146</v>
      </c>
      <c r="C163" s="25" t="s">
        <v>131</v>
      </c>
      <c r="D163" s="25" t="s">
        <v>227</v>
      </c>
      <c r="E163" s="25" t="s">
        <v>131</v>
      </c>
      <c r="F163" s="25">
        <v>8685</v>
      </c>
      <c r="G163" s="25" t="s">
        <v>328</v>
      </c>
      <c r="H163" s="25"/>
      <c r="I163" s="25">
        <v>19.829999999999998</v>
      </c>
      <c r="J163" s="25">
        <v>-19.829999999999998</v>
      </c>
    </row>
    <row r="164" spans="1:10" x14ac:dyDescent="0.25">
      <c r="A164" s="25">
        <v>201040217</v>
      </c>
      <c r="B164" s="24" t="s">
        <v>146</v>
      </c>
      <c r="C164" s="25" t="s">
        <v>131</v>
      </c>
      <c r="D164" s="25" t="s">
        <v>227</v>
      </c>
      <c r="E164" s="25" t="s">
        <v>131</v>
      </c>
      <c r="F164" s="25">
        <v>8754</v>
      </c>
      <c r="G164" s="25" t="s">
        <v>329</v>
      </c>
      <c r="H164" s="25"/>
      <c r="I164" s="25">
        <v>13.22</v>
      </c>
      <c r="J164" s="25">
        <v>-13.22</v>
      </c>
    </row>
    <row r="165" spans="1:10" x14ac:dyDescent="0.25">
      <c r="A165" s="25">
        <v>201040217</v>
      </c>
      <c r="B165" s="24" t="s">
        <v>146</v>
      </c>
      <c r="C165" s="25" t="s">
        <v>158</v>
      </c>
      <c r="D165" s="25" t="s">
        <v>227</v>
      </c>
      <c r="E165" s="25" t="s">
        <v>158</v>
      </c>
      <c r="F165" s="25">
        <v>8686</v>
      </c>
      <c r="G165" s="25" t="s">
        <v>330</v>
      </c>
      <c r="H165" s="25"/>
      <c r="I165" s="25">
        <v>2.06</v>
      </c>
      <c r="J165" s="25">
        <v>-2.06</v>
      </c>
    </row>
    <row r="166" spans="1:10" x14ac:dyDescent="0.25">
      <c r="A166" s="25">
        <v>201040217</v>
      </c>
      <c r="B166" s="24" t="s">
        <v>146</v>
      </c>
      <c r="C166" s="25" t="s">
        <v>331</v>
      </c>
      <c r="D166" s="25" t="s">
        <v>232</v>
      </c>
      <c r="E166" s="25" t="s">
        <v>158</v>
      </c>
      <c r="F166" s="25">
        <v>8687</v>
      </c>
      <c r="G166" s="25" t="s">
        <v>332</v>
      </c>
      <c r="H166" s="25"/>
      <c r="I166" s="25">
        <v>60.5</v>
      </c>
      <c r="J166" s="25">
        <v>-60.5</v>
      </c>
    </row>
    <row r="167" spans="1:10" x14ac:dyDescent="0.25">
      <c r="A167" s="25">
        <v>201040217</v>
      </c>
      <c r="B167" s="24" t="s">
        <v>146</v>
      </c>
      <c r="C167" s="25" t="s">
        <v>333</v>
      </c>
      <c r="D167" s="25" t="s">
        <v>227</v>
      </c>
      <c r="E167" s="25" t="s">
        <v>333</v>
      </c>
      <c r="F167" s="25">
        <v>8700</v>
      </c>
      <c r="G167" s="25" t="s">
        <v>334</v>
      </c>
      <c r="H167" s="25"/>
      <c r="I167" s="25">
        <v>1.1000000000000001</v>
      </c>
      <c r="J167" s="25">
        <v>-1.1000000000000001</v>
      </c>
    </row>
    <row r="168" spans="1:10" x14ac:dyDescent="0.25">
      <c r="A168" s="25">
        <v>201040217</v>
      </c>
      <c r="B168" s="24" t="s">
        <v>146</v>
      </c>
      <c r="C168" s="25" t="s">
        <v>113</v>
      </c>
      <c r="D168" s="25" t="s">
        <v>232</v>
      </c>
      <c r="E168" s="25" t="s">
        <v>114</v>
      </c>
      <c r="F168" s="25">
        <v>8751</v>
      </c>
      <c r="G168" s="25" t="s">
        <v>335</v>
      </c>
      <c r="H168" s="25"/>
      <c r="I168" s="25">
        <v>12.35</v>
      </c>
      <c r="J168" s="25">
        <v>-12.35</v>
      </c>
    </row>
    <row r="169" spans="1:10" x14ac:dyDescent="0.25">
      <c r="A169" s="25">
        <v>201040217</v>
      </c>
      <c r="B169" s="24" t="s">
        <v>146</v>
      </c>
      <c r="C169" s="25" t="s">
        <v>230</v>
      </c>
      <c r="D169" s="25" t="s">
        <v>227</v>
      </c>
      <c r="E169" s="25" t="s">
        <v>230</v>
      </c>
      <c r="F169" s="25">
        <v>8886</v>
      </c>
      <c r="G169" s="25" t="s">
        <v>231</v>
      </c>
      <c r="H169" s="25">
        <v>602.16</v>
      </c>
      <c r="I169" s="25"/>
      <c r="J169" s="25">
        <v>602.16</v>
      </c>
    </row>
    <row r="170" spans="1:10" x14ac:dyDescent="0.25">
      <c r="A170" s="25">
        <v>201040217</v>
      </c>
      <c r="B170" s="24" t="s">
        <v>146</v>
      </c>
      <c r="C170" s="25" t="s">
        <v>93</v>
      </c>
      <c r="D170" s="25" t="s">
        <v>227</v>
      </c>
      <c r="E170" s="25" t="s">
        <v>93</v>
      </c>
      <c r="F170" s="25">
        <v>8773</v>
      </c>
      <c r="G170" s="25" t="s">
        <v>336</v>
      </c>
      <c r="H170" s="25"/>
      <c r="I170" s="25">
        <v>44.28</v>
      </c>
      <c r="J170" s="25">
        <v>-44.28</v>
      </c>
    </row>
    <row r="171" spans="1:10" x14ac:dyDescent="0.25">
      <c r="A171" s="25">
        <v>201040217</v>
      </c>
      <c r="B171" s="24" t="s">
        <v>146</v>
      </c>
      <c r="C171" s="25" t="s">
        <v>94</v>
      </c>
      <c r="D171" s="25" t="s">
        <v>232</v>
      </c>
      <c r="E171" s="25" t="s">
        <v>94</v>
      </c>
      <c r="F171" s="25">
        <v>8794</v>
      </c>
      <c r="G171" s="25" t="s">
        <v>337</v>
      </c>
      <c r="H171" s="25"/>
      <c r="I171" s="25">
        <v>2.06</v>
      </c>
      <c r="J171" s="25">
        <v>-2.06</v>
      </c>
    </row>
    <row r="172" spans="1:10" x14ac:dyDescent="0.25">
      <c r="A172" s="25">
        <v>201040217</v>
      </c>
      <c r="B172" s="24" t="s">
        <v>146</v>
      </c>
      <c r="C172" s="25" t="s">
        <v>94</v>
      </c>
      <c r="D172" s="25" t="s">
        <v>232</v>
      </c>
      <c r="E172" s="25" t="s">
        <v>94</v>
      </c>
      <c r="F172" s="25">
        <v>8816</v>
      </c>
      <c r="G172" s="25" t="s">
        <v>338</v>
      </c>
      <c r="H172" s="25"/>
      <c r="I172" s="25">
        <v>17.18</v>
      </c>
      <c r="J172" s="25">
        <v>-17.18</v>
      </c>
    </row>
    <row r="173" spans="1:10" x14ac:dyDescent="0.25">
      <c r="A173" s="25">
        <v>201040217</v>
      </c>
      <c r="B173" s="24" t="s">
        <v>146</v>
      </c>
      <c r="C173" s="25" t="s">
        <v>94</v>
      </c>
      <c r="D173" s="25" t="s">
        <v>232</v>
      </c>
      <c r="E173" s="25" t="s">
        <v>94</v>
      </c>
      <c r="F173" s="25">
        <v>8817</v>
      </c>
      <c r="G173" s="25" t="s">
        <v>339</v>
      </c>
      <c r="H173" s="25"/>
      <c r="I173" s="25">
        <v>1.65</v>
      </c>
      <c r="J173" s="25">
        <v>-1.65</v>
      </c>
    </row>
    <row r="174" spans="1:10" x14ac:dyDescent="0.25">
      <c r="A174" s="25">
        <v>201040217</v>
      </c>
      <c r="B174" s="24" t="s">
        <v>146</v>
      </c>
      <c r="C174" s="25" t="s">
        <v>94</v>
      </c>
      <c r="D174" s="25" t="s">
        <v>232</v>
      </c>
      <c r="E174" s="25" t="s">
        <v>94</v>
      </c>
      <c r="F174" s="25">
        <v>8818</v>
      </c>
      <c r="G174" s="25" t="s">
        <v>340</v>
      </c>
      <c r="H174" s="25"/>
      <c r="I174" s="25">
        <v>47.16</v>
      </c>
      <c r="J174" s="25">
        <v>-47.16</v>
      </c>
    </row>
    <row r="175" spans="1:10" x14ac:dyDescent="0.25">
      <c r="A175" s="25">
        <v>201040217</v>
      </c>
      <c r="B175" s="24" t="s">
        <v>146</v>
      </c>
      <c r="C175" s="25" t="s">
        <v>94</v>
      </c>
      <c r="D175" s="25" t="s">
        <v>232</v>
      </c>
      <c r="E175" s="25" t="s">
        <v>94</v>
      </c>
      <c r="F175" s="25">
        <v>8819</v>
      </c>
      <c r="G175" s="25" t="s">
        <v>341</v>
      </c>
      <c r="H175" s="25"/>
      <c r="I175" s="25">
        <v>25.66</v>
      </c>
      <c r="J175" s="25">
        <v>-25.66</v>
      </c>
    </row>
    <row r="176" spans="1:10" x14ac:dyDescent="0.25">
      <c r="A176" s="25">
        <v>201040217</v>
      </c>
      <c r="B176" s="24" t="s">
        <v>146</v>
      </c>
      <c r="C176" s="25" t="s">
        <v>94</v>
      </c>
      <c r="D176" s="25" t="s">
        <v>232</v>
      </c>
      <c r="E176" s="25" t="s">
        <v>94</v>
      </c>
      <c r="F176" s="25">
        <v>8820</v>
      </c>
      <c r="G176" s="25" t="s">
        <v>342</v>
      </c>
      <c r="H176" s="25"/>
      <c r="I176" s="25">
        <v>47.3</v>
      </c>
      <c r="J176" s="25">
        <v>-47.3</v>
      </c>
    </row>
    <row r="177" spans="1:10" x14ac:dyDescent="0.25">
      <c r="A177" s="25">
        <v>201040217</v>
      </c>
      <c r="B177" s="24" t="s">
        <v>146</v>
      </c>
      <c r="C177" s="25" t="s">
        <v>94</v>
      </c>
      <c r="D177" s="25" t="s">
        <v>232</v>
      </c>
      <c r="E177" s="25" t="s">
        <v>94</v>
      </c>
      <c r="F177" s="25">
        <v>8821</v>
      </c>
      <c r="G177" s="25" t="s">
        <v>343</v>
      </c>
      <c r="H177" s="25"/>
      <c r="I177" s="25">
        <v>67.41</v>
      </c>
      <c r="J177" s="25">
        <v>-67.41</v>
      </c>
    </row>
    <row r="178" spans="1:10" x14ac:dyDescent="0.25">
      <c r="A178" s="25">
        <v>201040217</v>
      </c>
      <c r="B178" s="24" t="s">
        <v>146</v>
      </c>
      <c r="C178" s="25" t="s">
        <v>94</v>
      </c>
      <c r="D178" s="25" t="s">
        <v>232</v>
      </c>
      <c r="E178" s="25" t="s">
        <v>94</v>
      </c>
      <c r="F178" s="25">
        <v>8822</v>
      </c>
      <c r="G178" s="25" t="s">
        <v>344</v>
      </c>
      <c r="H178" s="25"/>
      <c r="I178" s="25">
        <v>14.82</v>
      </c>
      <c r="J178" s="25">
        <v>-14.82</v>
      </c>
    </row>
    <row r="179" spans="1:10" x14ac:dyDescent="0.25">
      <c r="A179" s="25">
        <v>201040217</v>
      </c>
      <c r="B179" s="24" t="s">
        <v>146</v>
      </c>
      <c r="C179" s="25" t="s">
        <v>94</v>
      </c>
      <c r="D179" s="25" t="s">
        <v>232</v>
      </c>
      <c r="E179" s="25" t="s">
        <v>94</v>
      </c>
      <c r="F179" s="25">
        <v>8823</v>
      </c>
      <c r="G179" s="25" t="s">
        <v>345</v>
      </c>
      <c r="H179" s="25"/>
      <c r="I179" s="25">
        <v>0.55000000000000004</v>
      </c>
      <c r="J179" s="25">
        <v>-0.55000000000000004</v>
      </c>
    </row>
    <row r="180" spans="1:10" x14ac:dyDescent="0.25">
      <c r="A180" s="25">
        <v>201040217</v>
      </c>
      <c r="B180" s="24" t="s">
        <v>146</v>
      </c>
      <c r="C180" s="25" t="s">
        <v>94</v>
      </c>
      <c r="D180" s="25" t="s">
        <v>232</v>
      </c>
      <c r="E180" s="25" t="s">
        <v>94</v>
      </c>
      <c r="F180" s="25">
        <v>8824</v>
      </c>
      <c r="G180" s="25" t="s">
        <v>346</v>
      </c>
      <c r="H180" s="25"/>
      <c r="I180" s="25">
        <v>10.62</v>
      </c>
      <c r="J180" s="25">
        <v>-10.62</v>
      </c>
    </row>
    <row r="181" spans="1:10" x14ac:dyDescent="0.25">
      <c r="A181" s="25">
        <v>201040217</v>
      </c>
      <c r="B181" s="24" t="s">
        <v>146</v>
      </c>
      <c r="C181" s="25" t="s">
        <v>94</v>
      </c>
      <c r="D181" s="25" t="s">
        <v>232</v>
      </c>
      <c r="E181" s="25" t="s">
        <v>94</v>
      </c>
      <c r="F181" s="25">
        <v>8825</v>
      </c>
      <c r="G181" s="25" t="s">
        <v>347</v>
      </c>
      <c r="H181" s="25"/>
      <c r="I181" s="25">
        <v>15.63</v>
      </c>
      <c r="J181" s="25">
        <v>-15.63</v>
      </c>
    </row>
    <row r="182" spans="1:10" x14ac:dyDescent="0.25">
      <c r="A182" s="25">
        <v>201040217</v>
      </c>
      <c r="B182" s="24" t="s">
        <v>146</v>
      </c>
      <c r="C182" s="25" t="s">
        <v>94</v>
      </c>
      <c r="D182" s="25" t="s">
        <v>232</v>
      </c>
      <c r="E182" s="25" t="s">
        <v>94</v>
      </c>
      <c r="F182" s="25">
        <v>8826</v>
      </c>
      <c r="G182" s="25" t="s">
        <v>348</v>
      </c>
      <c r="H182" s="25"/>
      <c r="I182" s="25">
        <v>5.2</v>
      </c>
      <c r="J182" s="25">
        <v>-5.2</v>
      </c>
    </row>
    <row r="183" spans="1:10" x14ac:dyDescent="0.25">
      <c r="A183" s="25">
        <v>201040217</v>
      </c>
      <c r="B183" s="24" t="s">
        <v>146</v>
      </c>
      <c r="C183" s="25" t="s">
        <v>94</v>
      </c>
      <c r="D183" s="25" t="s">
        <v>232</v>
      </c>
      <c r="E183" s="25" t="s">
        <v>94</v>
      </c>
      <c r="F183" s="25">
        <v>8827</v>
      </c>
      <c r="G183" s="25" t="s">
        <v>349</v>
      </c>
      <c r="H183" s="25"/>
      <c r="I183" s="25">
        <v>4.59</v>
      </c>
      <c r="J183" s="25">
        <v>-4.59</v>
      </c>
    </row>
    <row r="184" spans="1:10" x14ac:dyDescent="0.25">
      <c r="A184" s="25">
        <v>201040217</v>
      </c>
      <c r="B184" s="24" t="s">
        <v>146</v>
      </c>
      <c r="C184" s="25" t="s">
        <v>94</v>
      </c>
      <c r="D184" s="25" t="s">
        <v>232</v>
      </c>
      <c r="E184" s="25" t="s">
        <v>94</v>
      </c>
      <c r="F184" s="25">
        <v>8828</v>
      </c>
      <c r="G184" s="25" t="s">
        <v>350</v>
      </c>
      <c r="H184" s="25"/>
      <c r="I184" s="25">
        <v>4.95</v>
      </c>
      <c r="J184" s="25">
        <v>-4.95</v>
      </c>
    </row>
    <row r="185" spans="1:10" x14ac:dyDescent="0.25">
      <c r="A185" s="25">
        <v>201040217</v>
      </c>
      <c r="B185" s="24" t="s">
        <v>146</v>
      </c>
      <c r="C185" s="25" t="s">
        <v>94</v>
      </c>
      <c r="D185" s="25" t="s">
        <v>232</v>
      </c>
      <c r="E185" s="25" t="s">
        <v>94</v>
      </c>
      <c r="F185" s="25">
        <v>8829</v>
      </c>
      <c r="G185" s="25" t="s">
        <v>351</v>
      </c>
      <c r="H185" s="25"/>
      <c r="I185" s="25">
        <v>9.8800000000000008</v>
      </c>
      <c r="J185" s="25">
        <v>-9.8800000000000008</v>
      </c>
    </row>
    <row r="186" spans="1:10" x14ac:dyDescent="0.25">
      <c r="A186" s="25">
        <v>201040217</v>
      </c>
      <c r="B186" s="24" t="s">
        <v>146</v>
      </c>
      <c r="C186" s="25" t="s">
        <v>94</v>
      </c>
      <c r="D186" s="25" t="s">
        <v>232</v>
      </c>
      <c r="E186" s="25" t="s">
        <v>94</v>
      </c>
      <c r="F186" s="25">
        <v>8830</v>
      </c>
      <c r="G186" s="25" t="s">
        <v>352</v>
      </c>
      <c r="H186" s="25"/>
      <c r="I186" s="25">
        <v>10.32</v>
      </c>
      <c r="J186" s="25">
        <v>-10.32</v>
      </c>
    </row>
    <row r="187" spans="1:10" x14ac:dyDescent="0.25">
      <c r="A187" s="25">
        <v>201040217</v>
      </c>
      <c r="B187" s="24" t="s">
        <v>146</v>
      </c>
      <c r="C187" s="25" t="s">
        <v>94</v>
      </c>
      <c r="D187" s="25" t="s">
        <v>232</v>
      </c>
      <c r="E187" s="25" t="s">
        <v>94</v>
      </c>
      <c r="F187" s="25">
        <v>8831</v>
      </c>
      <c r="G187" s="25" t="s">
        <v>353</v>
      </c>
      <c r="H187" s="25"/>
      <c r="I187" s="25">
        <v>10.3</v>
      </c>
      <c r="J187" s="25">
        <v>-10.3</v>
      </c>
    </row>
    <row r="188" spans="1:10" x14ac:dyDescent="0.25">
      <c r="A188" s="25">
        <v>201040217</v>
      </c>
      <c r="B188" s="24" t="s">
        <v>146</v>
      </c>
      <c r="C188" s="25" t="s">
        <v>94</v>
      </c>
      <c r="D188" s="25" t="s">
        <v>232</v>
      </c>
      <c r="E188" s="25" t="s">
        <v>94</v>
      </c>
      <c r="F188" s="25">
        <v>8832</v>
      </c>
      <c r="G188" s="25" t="s">
        <v>354</v>
      </c>
      <c r="H188" s="25"/>
      <c r="I188" s="25">
        <v>5.78</v>
      </c>
      <c r="J188" s="25">
        <v>-5.78</v>
      </c>
    </row>
    <row r="189" spans="1:10" x14ac:dyDescent="0.25">
      <c r="A189" s="25">
        <v>201040217</v>
      </c>
      <c r="B189" s="24" t="s">
        <v>146</v>
      </c>
      <c r="C189" s="25" t="s">
        <v>94</v>
      </c>
      <c r="D189" s="25" t="s">
        <v>232</v>
      </c>
      <c r="E189" s="25" t="s">
        <v>94</v>
      </c>
      <c r="F189" s="25">
        <v>8833</v>
      </c>
      <c r="G189" s="25" t="s">
        <v>355</v>
      </c>
      <c r="H189" s="25"/>
      <c r="I189" s="25">
        <v>15.66</v>
      </c>
      <c r="J189" s="25">
        <v>-15.66</v>
      </c>
    </row>
    <row r="190" spans="1:10" x14ac:dyDescent="0.25">
      <c r="A190" s="25">
        <v>201040217</v>
      </c>
      <c r="B190" s="24" t="s">
        <v>146</v>
      </c>
      <c r="C190" s="25" t="s">
        <v>94</v>
      </c>
      <c r="D190" s="25" t="s">
        <v>232</v>
      </c>
      <c r="E190" s="25" t="s">
        <v>94</v>
      </c>
      <c r="F190" s="25">
        <v>8834</v>
      </c>
      <c r="G190" s="25" t="s">
        <v>356</v>
      </c>
      <c r="H190" s="25"/>
      <c r="I190" s="25">
        <v>3.85</v>
      </c>
      <c r="J190" s="25">
        <v>-3.85</v>
      </c>
    </row>
    <row r="191" spans="1:10" x14ac:dyDescent="0.25">
      <c r="A191" s="25">
        <v>201040217</v>
      </c>
      <c r="B191" s="24" t="s">
        <v>146</v>
      </c>
      <c r="C191" s="25" t="s">
        <v>94</v>
      </c>
      <c r="D191" s="25" t="s">
        <v>232</v>
      </c>
      <c r="E191" s="25" t="s">
        <v>94</v>
      </c>
      <c r="F191" s="25">
        <v>8835</v>
      </c>
      <c r="G191" s="25" t="s">
        <v>357</v>
      </c>
      <c r="H191" s="25"/>
      <c r="I191" s="25">
        <v>70.13</v>
      </c>
      <c r="J191" s="25">
        <v>-70.13</v>
      </c>
    </row>
    <row r="192" spans="1:10" x14ac:dyDescent="0.25">
      <c r="A192" s="25">
        <v>201040217</v>
      </c>
      <c r="B192" s="24" t="s">
        <v>146</v>
      </c>
      <c r="C192" s="25" t="s">
        <v>94</v>
      </c>
      <c r="D192" s="25" t="s">
        <v>232</v>
      </c>
      <c r="E192" s="25" t="s">
        <v>94</v>
      </c>
      <c r="F192" s="25">
        <v>9014</v>
      </c>
      <c r="G192" s="25" t="s">
        <v>311</v>
      </c>
      <c r="H192" s="25"/>
      <c r="I192" s="25">
        <v>-10.32</v>
      </c>
      <c r="J192" s="25">
        <v>10.32</v>
      </c>
    </row>
    <row r="193" spans="1:10" x14ac:dyDescent="0.25">
      <c r="A193" s="25">
        <v>201040217</v>
      </c>
      <c r="B193" s="24" t="s">
        <v>146</v>
      </c>
      <c r="C193" s="25" t="s">
        <v>94</v>
      </c>
      <c r="D193" s="25" t="s">
        <v>232</v>
      </c>
      <c r="E193" s="25" t="s">
        <v>94</v>
      </c>
      <c r="F193" s="25">
        <v>9015</v>
      </c>
      <c r="G193" s="25" t="s">
        <v>311</v>
      </c>
      <c r="H193" s="25"/>
      <c r="I193" s="25">
        <v>-15.63</v>
      </c>
      <c r="J193" s="25">
        <v>15.63</v>
      </c>
    </row>
    <row r="194" spans="1:10" x14ac:dyDescent="0.25">
      <c r="A194" s="25">
        <v>201040217</v>
      </c>
      <c r="B194" s="24" t="s">
        <v>146</v>
      </c>
      <c r="C194" s="25" t="s">
        <v>94</v>
      </c>
      <c r="D194" s="25" t="s">
        <v>232</v>
      </c>
      <c r="E194" s="25" t="s">
        <v>94</v>
      </c>
      <c r="F194" s="25">
        <v>9016</v>
      </c>
      <c r="G194" s="25" t="s">
        <v>311</v>
      </c>
      <c r="H194" s="25"/>
      <c r="I194" s="25">
        <v>-9.8800000000000008</v>
      </c>
      <c r="J194" s="25">
        <v>9.8800000000000008</v>
      </c>
    </row>
    <row r="195" spans="1:10" x14ac:dyDescent="0.25">
      <c r="A195" s="25">
        <v>201040217</v>
      </c>
      <c r="B195" s="24" t="s">
        <v>146</v>
      </c>
      <c r="C195" s="25" t="s">
        <v>94</v>
      </c>
      <c r="D195" s="25" t="s">
        <v>232</v>
      </c>
      <c r="E195" s="25" t="s">
        <v>94</v>
      </c>
      <c r="F195" s="25">
        <v>9017</v>
      </c>
      <c r="G195" s="25" t="s">
        <v>351</v>
      </c>
      <c r="H195" s="25"/>
      <c r="I195" s="25">
        <v>9.8800000000000008</v>
      </c>
      <c r="J195" s="25">
        <v>-9.8800000000000008</v>
      </c>
    </row>
    <row r="196" spans="1:10" x14ac:dyDescent="0.25">
      <c r="A196" s="25">
        <v>201040217</v>
      </c>
      <c r="B196" s="24" t="s">
        <v>146</v>
      </c>
      <c r="C196" s="25" t="s">
        <v>94</v>
      </c>
      <c r="D196" s="25" t="s">
        <v>232</v>
      </c>
      <c r="E196" s="25" t="s">
        <v>94</v>
      </c>
      <c r="F196" s="25">
        <v>9018</v>
      </c>
      <c r="G196" s="25" t="s">
        <v>352</v>
      </c>
      <c r="H196" s="25"/>
      <c r="I196" s="25">
        <v>10.32</v>
      </c>
      <c r="J196" s="25">
        <v>-10.32</v>
      </c>
    </row>
    <row r="197" spans="1:10" x14ac:dyDescent="0.25">
      <c r="A197" s="25">
        <v>201040217</v>
      </c>
      <c r="B197" s="24" t="s">
        <v>146</v>
      </c>
      <c r="C197" s="25" t="s">
        <v>94</v>
      </c>
      <c r="D197" s="25" t="s">
        <v>232</v>
      </c>
      <c r="E197" s="25" t="s">
        <v>94</v>
      </c>
      <c r="F197" s="25">
        <v>9019</v>
      </c>
      <c r="G197" s="25" t="s">
        <v>347</v>
      </c>
      <c r="H197" s="25"/>
      <c r="I197" s="25">
        <v>15.63</v>
      </c>
      <c r="J197" s="25">
        <v>-15.63</v>
      </c>
    </row>
    <row r="198" spans="1:10" x14ac:dyDescent="0.25">
      <c r="A198" s="25">
        <v>201040217</v>
      </c>
      <c r="B198" s="24" t="s">
        <v>146</v>
      </c>
      <c r="C198" s="25" t="s">
        <v>94</v>
      </c>
      <c r="D198" s="25" t="s">
        <v>232</v>
      </c>
      <c r="E198" s="25" t="s">
        <v>94</v>
      </c>
      <c r="F198" s="25">
        <v>9020</v>
      </c>
      <c r="G198" s="25" t="s">
        <v>311</v>
      </c>
      <c r="H198" s="25"/>
      <c r="I198" s="25">
        <v>-15.63</v>
      </c>
      <c r="J198" s="25">
        <v>15.63</v>
      </c>
    </row>
    <row r="199" spans="1:10" x14ac:dyDescent="0.25">
      <c r="A199" s="25">
        <v>201040217</v>
      </c>
      <c r="B199" s="24" t="s">
        <v>146</v>
      </c>
      <c r="C199" s="25" t="s">
        <v>94</v>
      </c>
      <c r="D199" s="25" t="s">
        <v>232</v>
      </c>
      <c r="E199" s="25" t="s">
        <v>94</v>
      </c>
      <c r="F199" s="25">
        <v>9021</v>
      </c>
      <c r="G199" s="25" t="s">
        <v>347</v>
      </c>
      <c r="H199" s="25"/>
      <c r="I199" s="25">
        <v>15.63</v>
      </c>
      <c r="J199" s="25">
        <v>-15.63</v>
      </c>
    </row>
    <row r="200" spans="1:10" x14ac:dyDescent="0.25">
      <c r="A200" s="25">
        <v>201040217</v>
      </c>
      <c r="B200" s="24" t="s">
        <v>146</v>
      </c>
      <c r="C200" s="25" t="s">
        <v>94</v>
      </c>
      <c r="D200" s="25" t="s">
        <v>232</v>
      </c>
      <c r="E200" s="25" t="s">
        <v>94</v>
      </c>
      <c r="F200" s="25">
        <v>9022</v>
      </c>
      <c r="G200" s="25" t="s">
        <v>311</v>
      </c>
      <c r="H200" s="25"/>
      <c r="I200" s="25">
        <v>-9.8800000000000008</v>
      </c>
      <c r="J200" s="25">
        <v>9.8800000000000008</v>
      </c>
    </row>
    <row r="201" spans="1:10" x14ac:dyDescent="0.25">
      <c r="A201" s="25">
        <v>201040217</v>
      </c>
      <c r="B201" s="24" t="s">
        <v>146</v>
      </c>
      <c r="C201" s="25" t="s">
        <v>94</v>
      </c>
      <c r="D201" s="25" t="s">
        <v>232</v>
      </c>
      <c r="E201" s="25" t="s">
        <v>94</v>
      </c>
      <c r="F201" s="25">
        <v>9023</v>
      </c>
      <c r="G201" s="25" t="s">
        <v>351</v>
      </c>
      <c r="H201" s="25"/>
      <c r="I201" s="25">
        <v>9.8800000000000008</v>
      </c>
      <c r="J201" s="25">
        <v>-9.8800000000000008</v>
      </c>
    </row>
    <row r="202" spans="1:10" x14ac:dyDescent="0.25">
      <c r="A202" s="25">
        <v>201040217</v>
      </c>
      <c r="B202" s="24" t="s">
        <v>146</v>
      </c>
      <c r="C202" s="25" t="s">
        <v>94</v>
      </c>
      <c r="D202" s="25" t="s">
        <v>232</v>
      </c>
      <c r="E202" s="25" t="s">
        <v>94</v>
      </c>
      <c r="F202" s="25">
        <v>9024</v>
      </c>
      <c r="G202" s="25" t="s">
        <v>311</v>
      </c>
      <c r="H202" s="25"/>
      <c r="I202" s="25">
        <v>-10.32</v>
      </c>
      <c r="J202" s="25">
        <v>10.32</v>
      </c>
    </row>
    <row r="203" spans="1:10" x14ac:dyDescent="0.25">
      <c r="A203" s="25">
        <v>201040217</v>
      </c>
      <c r="B203" s="24" t="s">
        <v>146</v>
      </c>
      <c r="C203" s="25" t="s">
        <v>94</v>
      </c>
      <c r="D203" s="25" t="s">
        <v>232</v>
      </c>
      <c r="E203" s="25" t="s">
        <v>94</v>
      </c>
      <c r="F203" s="25">
        <v>9025</v>
      </c>
      <c r="G203" s="25" t="s">
        <v>352</v>
      </c>
      <c r="H203" s="25"/>
      <c r="I203" s="25">
        <v>10.32</v>
      </c>
      <c r="J203" s="25">
        <v>-10.32</v>
      </c>
    </row>
    <row r="204" spans="1:10" x14ac:dyDescent="0.25">
      <c r="A204" s="25">
        <v>201040217</v>
      </c>
      <c r="B204" s="24" t="s">
        <v>146</v>
      </c>
      <c r="C204" s="25" t="s">
        <v>358</v>
      </c>
      <c r="D204" s="25" t="s">
        <v>238</v>
      </c>
      <c r="E204" s="25" t="s">
        <v>160</v>
      </c>
      <c r="F204" s="25">
        <v>8815</v>
      </c>
      <c r="G204" s="25" t="s">
        <v>359</v>
      </c>
      <c r="H204" s="25"/>
      <c r="I204" s="25">
        <v>60.5</v>
      </c>
      <c r="J204" s="25">
        <v>-60.5</v>
      </c>
    </row>
    <row r="205" spans="1:10" x14ac:dyDescent="0.25">
      <c r="A205" s="25">
        <v>201040217</v>
      </c>
      <c r="B205" s="24" t="s">
        <v>146</v>
      </c>
      <c r="C205" s="25" t="s">
        <v>331</v>
      </c>
      <c r="D205" s="25" t="s">
        <v>232</v>
      </c>
      <c r="E205" s="25" t="s">
        <v>331</v>
      </c>
      <c r="F205" s="25">
        <v>8968</v>
      </c>
      <c r="G205" s="25" t="s">
        <v>360</v>
      </c>
      <c r="H205" s="25"/>
      <c r="I205" s="25">
        <v>4</v>
      </c>
      <c r="J205" s="25">
        <v>-4</v>
      </c>
    </row>
    <row r="206" spans="1:10" x14ac:dyDescent="0.25">
      <c r="A206" s="25">
        <v>201040217</v>
      </c>
      <c r="B206" s="24" t="s">
        <v>146</v>
      </c>
      <c r="C206" s="25" t="s">
        <v>361</v>
      </c>
      <c r="D206" s="25" t="s">
        <v>232</v>
      </c>
      <c r="E206" s="25" t="s">
        <v>361</v>
      </c>
      <c r="F206" s="25">
        <v>8868</v>
      </c>
      <c r="G206" s="25" t="s">
        <v>362</v>
      </c>
      <c r="H206" s="25"/>
      <c r="I206" s="25">
        <v>3.3</v>
      </c>
      <c r="J206" s="25">
        <v>-3.3</v>
      </c>
    </row>
    <row r="207" spans="1:10" x14ac:dyDescent="0.25">
      <c r="A207" s="25">
        <v>201040217</v>
      </c>
      <c r="B207" s="24" t="s">
        <v>146</v>
      </c>
      <c r="C207" s="25" t="s">
        <v>134</v>
      </c>
      <c r="D207" s="25" t="s">
        <v>232</v>
      </c>
      <c r="E207" s="25" t="s">
        <v>363</v>
      </c>
      <c r="F207" s="25">
        <v>8806</v>
      </c>
      <c r="G207" s="25" t="s">
        <v>364</v>
      </c>
      <c r="H207" s="25"/>
      <c r="I207" s="25">
        <v>8.25</v>
      </c>
      <c r="J207" s="25">
        <v>-8.25</v>
      </c>
    </row>
    <row r="208" spans="1:10" x14ac:dyDescent="0.25">
      <c r="A208" s="25">
        <v>201040217</v>
      </c>
      <c r="B208" s="24" t="s">
        <v>146</v>
      </c>
      <c r="C208" s="25" t="s">
        <v>121</v>
      </c>
      <c r="D208" s="25" t="s">
        <v>238</v>
      </c>
      <c r="E208" s="25" t="s">
        <v>134</v>
      </c>
      <c r="F208" s="25">
        <v>8804</v>
      </c>
      <c r="G208" s="25" t="s">
        <v>365</v>
      </c>
      <c r="H208" s="25"/>
      <c r="I208" s="25">
        <v>12.9</v>
      </c>
      <c r="J208" s="25">
        <v>-12.9</v>
      </c>
    </row>
    <row r="209" spans="1:10" x14ac:dyDescent="0.25">
      <c r="A209" s="25">
        <v>201040217</v>
      </c>
      <c r="B209" s="24" t="s">
        <v>146</v>
      </c>
      <c r="C209" s="25" t="s">
        <v>95</v>
      </c>
      <c r="D209" s="25" t="s">
        <v>232</v>
      </c>
      <c r="E209" s="25" t="s">
        <v>95</v>
      </c>
      <c r="F209" s="25">
        <v>8956</v>
      </c>
      <c r="G209" s="25" t="s">
        <v>234</v>
      </c>
      <c r="H209" s="25">
        <v>32</v>
      </c>
      <c r="I209" s="25"/>
      <c r="J209" s="25">
        <v>32</v>
      </c>
    </row>
    <row r="210" spans="1:10" x14ac:dyDescent="0.25">
      <c r="A210" s="25">
        <v>201040217</v>
      </c>
      <c r="B210" s="24" t="s">
        <v>146</v>
      </c>
      <c r="C210" s="25" t="s">
        <v>95</v>
      </c>
      <c r="D210" s="25" t="s">
        <v>232</v>
      </c>
      <c r="E210" s="25" t="s">
        <v>95</v>
      </c>
      <c r="F210" s="25">
        <v>8986</v>
      </c>
      <c r="G210" s="25" t="s">
        <v>235</v>
      </c>
      <c r="H210" s="25">
        <v>-32</v>
      </c>
      <c r="I210" s="25"/>
      <c r="J210" s="25">
        <v>-32</v>
      </c>
    </row>
    <row r="211" spans="1:10" x14ac:dyDescent="0.25">
      <c r="A211" s="25">
        <v>201040217</v>
      </c>
      <c r="B211" s="24" t="s">
        <v>146</v>
      </c>
      <c r="C211" s="25" t="s">
        <v>95</v>
      </c>
      <c r="D211" s="25" t="s">
        <v>232</v>
      </c>
      <c r="E211" s="25" t="s">
        <v>95</v>
      </c>
      <c r="F211" s="25">
        <v>8987</v>
      </c>
      <c r="G211" s="25" t="s">
        <v>234</v>
      </c>
      <c r="H211" s="25">
        <v>228.52</v>
      </c>
      <c r="I211" s="25"/>
      <c r="J211" s="25">
        <v>228.52</v>
      </c>
    </row>
    <row r="212" spans="1:10" x14ac:dyDescent="0.25">
      <c r="A212" s="25">
        <v>201040217</v>
      </c>
      <c r="B212" s="24" t="s">
        <v>146</v>
      </c>
      <c r="C212" s="25" t="s">
        <v>366</v>
      </c>
      <c r="D212" s="25" t="s">
        <v>232</v>
      </c>
      <c r="E212" s="25" t="s">
        <v>366</v>
      </c>
      <c r="F212" s="25">
        <v>8836</v>
      </c>
      <c r="G212" s="25" t="s">
        <v>367</v>
      </c>
      <c r="H212" s="25"/>
      <c r="I212" s="25">
        <v>75.63</v>
      </c>
      <c r="J212" s="25">
        <v>-75.63</v>
      </c>
    </row>
    <row r="213" spans="1:10" x14ac:dyDescent="0.25">
      <c r="A213" s="25">
        <v>201040217</v>
      </c>
      <c r="B213" s="24" t="s">
        <v>146</v>
      </c>
      <c r="C213" s="25" t="s">
        <v>366</v>
      </c>
      <c r="D213" s="25" t="s">
        <v>232</v>
      </c>
      <c r="E213" s="25" t="s">
        <v>366</v>
      </c>
      <c r="F213" s="25">
        <v>8837</v>
      </c>
      <c r="G213" s="25" t="s">
        <v>368</v>
      </c>
      <c r="H213" s="25"/>
      <c r="I213" s="25">
        <v>0.98</v>
      </c>
      <c r="J213" s="25">
        <v>-0.98</v>
      </c>
    </row>
    <row r="214" spans="1:10" x14ac:dyDescent="0.25">
      <c r="A214" s="25">
        <v>201040217</v>
      </c>
      <c r="B214" s="24" t="s">
        <v>146</v>
      </c>
      <c r="C214" s="25" t="s">
        <v>366</v>
      </c>
      <c r="D214" s="25" t="s">
        <v>232</v>
      </c>
      <c r="E214" s="25" t="s">
        <v>366</v>
      </c>
      <c r="F214" s="25">
        <v>8838</v>
      </c>
      <c r="G214" s="25" t="s">
        <v>369</v>
      </c>
      <c r="H214" s="25"/>
      <c r="I214" s="25">
        <v>15.37</v>
      </c>
      <c r="J214" s="25">
        <v>-15.37</v>
      </c>
    </row>
    <row r="215" spans="1:10" x14ac:dyDescent="0.25">
      <c r="A215" s="25">
        <v>201040217</v>
      </c>
      <c r="B215" s="24" t="s">
        <v>146</v>
      </c>
      <c r="C215" s="25" t="s">
        <v>366</v>
      </c>
      <c r="D215" s="25" t="s">
        <v>232</v>
      </c>
      <c r="E215" s="25" t="s">
        <v>366</v>
      </c>
      <c r="F215" s="25">
        <v>8839</v>
      </c>
      <c r="G215" s="25" t="s">
        <v>370</v>
      </c>
      <c r="H215" s="25"/>
      <c r="I215" s="25">
        <v>6.88</v>
      </c>
      <c r="J215" s="25">
        <v>-6.88</v>
      </c>
    </row>
    <row r="216" spans="1:10" x14ac:dyDescent="0.25">
      <c r="A216" s="25">
        <v>201040217</v>
      </c>
      <c r="B216" s="24" t="s">
        <v>146</v>
      </c>
      <c r="C216" s="25" t="s">
        <v>366</v>
      </c>
      <c r="D216" s="25" t="s">
        <v>232</v>
      </c>
      <c r="E216" s="25" t="s">
        <v>366</v>
      </c>
      <c r="F216" s="25">
        <v>8840</v>
      </c>
      <c r="G216" s="25" t="s">
        <v>371</v>
      </c>
      <c r="H216" s="25"/>
      <c r="I216" s="25">
        <v>5.46</v>
      </c>
      <c r="J216" s="25">
        <v>-5.46</v>
      </c>
    </row>
    <row r="217" spans="1:10" x14ac:dyDescent="0.25">
      <c r="A217" s="25">
        <v>201040217</v>
      </c>
      <c r="B217" s="24" t="s">
        <v>146</v>
      </c>
      <c r="C217" s="25" t="s">
        <v>366</v>
      </c>
      <c r="D217" s="25" t="s">
        <v>232</v>
      </c>
      <c r="E217" s="25" t="s">
        <v>366</v>
      </c>
      <c r="F217" s="25">
        <v>8841</v>
      </c>
      <c r="G217" s="25" t="s">
        <v>372</v>
      </c>
      <c r="H217" s="25"/>
      <c r="I217" s="25">
        <v>19.8</v>
      </c>
      <c r="J217" s="25">
        <v>-19.8</v>
      </c>
    </row>
    <row r="218" spans="1:10" x14ac:dyDescent="0.25">
      <c r="A218" s="25">
        <v>201040217</v>
      </c>
      <c r="B218" s="24" t="s">
        <v>146</v>
      </c>
      <c r="C218" s="25" t="s">
        <v>366</v>
      </c>
      <c r="D218" s="25" t="s">
        <v>232</v>
      </c>
      <c r="E218" s="25" t="s">
        <v>366</v>
      </c>
      <c r="F218" s="25">
        <v>8842</v>
      </c>
      <c r="G218" s="25" t="s">
        <v>373</v>
      </c>
      <c r="H218" s="25"/>
      <c r="I218" s="25">
        <v>13.2</v>
      </c>
      <c r="J218" s="25">
        <v>-13.2</v>
      </c>
    </row>
    <row r="219" spans="1:10" x14ac:dyDescent="0.25">
      <c r="A219" s="25">
        <v>201040217</v>
      </c>
      <c r="B219" s="24" t="s">
        <v>146</v>
      </c>
      <c r="C219" s="25" t="s">
        <v>366</v>
      </c>
      <c r="D219" s="25" t="s">
        <v>232</v>
      </c>
      <c r="E219" s="25" t="s">
        <v>366</v>
      </c>
      <c r="F219" s="25">
        <v>8843</v>
      </c>
      <c r="G219" s="25" t="s">
        <v>374</v>
      </c>
      <c r="H219" s="25"/>
      <c r="I219" s="25">
        <v>10.18</v>
      </c>
      <c r="J219" s="25">
        <v>-10.18</v>
      </c>
    </row>
    <row r="220" spans="1:10" x14ac:dyDescent="0.25">
      <c r="A220" s="25">
        <v>201040217</v>
      </c>
      <c r="B220" s="24" t="s">
        <v>146</v>
      </c>
      <c r="C220" s="25" t="s">
        <v>366</v>
      </c>
      <c r="D220" s="25" t="s">
        <v>232</v>
      </c>
      <c r="E220" s="25" t="s">
        <v>366</v>
      </c>
      <c r="F220" s="25">
        <v>8844</v>
      </c>
      <c r="G220" s="25" t="s">
        <v>375</v>
      </c>
      <c r="H220" s="25"/>
      <c r="I220" s="25">
        <v>21.17</v>
      </c>
      <c r="J220" s="25">
        <v>-21.17</v>
      </c>
    </row>
    <row r="221" spans="1:10" x14ac:dyDescent="0.25">
      <c r="A221" s="25">
        <v>201040217</v>
      </c>
      <c r="B221" s="24" t="s">
        <v>146</v>
      </c>
      <c r="C221" s="25" t="s">
        <v>366</v>
      </c>
      <c r="D221" s="25" t="s">
        <v>232</v>
      </c>
      <c r="E221" s="25" t="s">
        <v>366</v>
      </c>
      <c r="F221" s="25">
        <v>8845</v>
      </c>
      <c r="G221" s="25" t="s">
        <v>376</v>
      </c>
      <c r="H221" s="25"/>
      <c r="I221" s="25">
        <v>15.79</v>
      </c>
      <c r="J221" s="25">
        <v>-15.79</v>
      </c>
    </row>
    <row r="222" spans="1:10" x14ac:dyDescent="0.25">
      <c r="A222" s="25">
        <v>201040217</v>
      </c>
      <c r="B222" s="24" t="s">
        <v>146</v>
      </c>
      <c r="C222" s="25" t="s">
        <v>366</v>
      </c>
      <c r="D222" s="25" t="s">
        <v>232</v>
      </c>
      <c r="E222" s="25" t="s">
        <v>366</v>
      </c>
      <c r="F222" s="25">
        <v>8974</v>
      </c>
      <c r="G222" s="25" t="s">
        <v>311</v>
      </c>
      <c r="H222" s="25"/>
      <c r="I222" s="25">
        <v>-15.79</v>
      </c>
      <c r="J222" s="25">
        <v>15.79</v>
      </c>
    </row>
    <row r="223" spans="1:10" x14ac:dyDescent="0.25">
      <c r="A223" s="25">
        <v>201040217</v>
      </c>
      <c r="B223" s="24" t="s">
        <v>146</v>
      </c>
      <c r="C223" s="25" t="s">
        <v>136</v>
      </c>
      <c r="D223" s="25" t="s">
        <v>232</v>
      </c>
      <c r="E223" s="25" t="s">
        <v>136</v>
      </c>
      <c r="F223" s="25">
        <v>8796</v>
      </c>
      <c r="G223" s="25" t="s">
        <v>377</v>
      </c>
      <c r="H223" s="25"/>
      <c r="I223" s="25">
        <v>15.65</v>
      </c>
      <c r="J223" s="25">
        <v>-15.65</v>
      </c>
    </row>
    <row r="224" spans="1:10" x14ac:dyDescent="0.25">
      <c r="A224" s="25">
        <v>201040217</v>
      </c>
      <c r="B224" s="24" t="s">
        <v>146</v>
      </c>
      <c r="C224" s="25" t="s">
        <v>136</v>
      </c>
      <c r="D224" s="25" t="s">
        <v>232</v>
      </c>
      <c r="E224" s="25" t="s">
        <v>136</v>
      </c>
      <c r="F224" s="25">
        <v>8797</v>
      </c>
      <c r="G224" s="25" t="s">
        <v>378</v>
      </c>
      <c r="H224" s="25"/>
      <c r="I224" s="25">
        <v>-15.65</v>
      </c>
      <c r="J224" s="25">
        <v>15.65</v>
      </c>
    </row>
    <row r="225" spans="1:10" x14ac:dyDescent="0.25">
      <c r="A225" s="25">
        <v>201040217</v>
      </c>
      <c r="B225" s="24" t="s">
        <v>146</v>
      </c>
      <c r="C225" s="25" t="s">
        <v>118</v>
      </c>
      <c r="D225" s="25" t="s">
        <v>238</v>
      </c>
      <c r="E225" s="25" t="s">
        <v>379</v>
      </c>
      <c r="F225" s="25">
        <v>8938</v>
      </c>
      <c r="G225" s="25" t="s">
        <v>380</v>
      </c>
      <c r="H225" s="25"/>
      <c r="I225" s="25">
        <v>36.58</v>
      </c>
      <c r="J225" s="25">
        <v>-36.58</v>
      </c>
    </row>
    <row r="226" spans="1:10" x14ac:dyDescent="0.25">
      <c r="A226" s="25">
        <v>201040217</v>
      </c>
      <c r="B226" s="24" t="s">
        <v>146</v>
      </c>
      <c r="C226" s="25" t="s">
        <v>118</v>
      </c>
      <c r="D226" s="25" t="s">
        <v>238</v>
      </c>
      <c r="E226" s="25" t="s">
        <v>118</v>
      </c>
      <c r="F226" s="25">
        <v>9012</v>
      </c>
      <c r="G226" s="25" t="s">
        <v>381</v>
      </c>
      <c r="H226" s="25"/>
      <c r="I226" s="25">
        <v>2.06</v>
      </c>
      <c r="J226" s="25">
        <v>-2.06</v>
      </c>
    </row>
    <row r="227" spans="1:10" x14ac:dyDescent="0.25">
      <c r="A227" s="25">
        <v>201040217</v>
      </c>
      <c r="B227" s="24" t="s">
        <v>146</v>
      </c>
      <c r="C227" s="25" t="s">
        <v>118</v>
      </c>
      <c r="D227" s="25" t="s">
        <v>238</v>
      </c>
      <c r="E227" s="25" t="s">
        <v>118</v>
      </c>
      <c r="F227" s="25">
        <v>9029</v>
      </c>
      <c r="G227" s="25" t="s">
        <v>382</v>
      </c>
      <c r="H227" s="25"/>
      <c r="I227" s="25">
        <v>16.41</v>
      </c>
      <c r="J227" s="25">
        <v>-16.41</v>
      </c>
    </row>
    <row r="228" spans="1:10" x14ac:dyDescent="0.25">
      <c r="A228" s="25">
        <v>201040217</v>
      </c>
      <c r="B228" s="24" t="s">
        <v>146</v>
      </c>
      <c r="C228" s="25" t="s">
        <v>163</v>
      </c>
      <c r="D228" s="25" t="s">
        <v>242</v>
      </c>
      <c r="E228" s="25" t="s">
        <v>383</v>
      </c>
      <c r="F228" s="25">
        <v>9011</v>
      </c>
      <c r="G228" s="25" t="s">
        <v>384</v>
      </c>
      <c r="H228" s="25"/>
      <c r="I228" s="25">
        <v>60.5</v>
      </c>
      <c r="J228" s="25">
        <v>-60.5</v>
      </c>
    </row>
    <row r="229" spans="1:10" x14ac:dyDescent="0.25">
      <c r="A229" s="25">
        <v>201040217</v>
      </c>
      <c r="B229" s="24" t="s">
        <v>146</v>
      </c>
      <c r="C229" s="25" t="s">
        <v>383</v>
      </c>
      <c r="D229" s="25" t="s">
        <v>238</v>
      </c>
      <c r="E229" s="25" t="s">
        <v>383</v>
      </c>
      <c r="F229" s="25">
        <v>9030</v>
      </c>
      <c r="G229" s="25" t="s">
        <v>385</v>
      </c>
      <c r="H229" s="25"/>
      <c r="I229" s="25">
        <v>2.12</v>
      </c>
      <c r="J229" s="25">
        <v>-2.12</v>
      </c>
    </row>
    <row r="230" spans="1:10" x14ac:dyDescent="0.25">
      <c r="A230" s="25">
        <v>201040217</v>
      </c>
      <c r="B230" s="24" t="s">
        <v>146</v>
      </c>
      <c r="C230" s="25" t="s">
        <v>383</v>
      </c>
      <c r="D230" s="25" t="s">
        <v>238</v>
      </c>
      <c r="E230" s="25" t="s">
        <v>383</v>
      </c>
      <c r="F230" s="25">
        <v>9031</v>
      </c>
      <c r="G230" s="25" t="s">
        <v>386</v>
      </c>
      <c r="H230" s="25"/>
      <c r="I230" s="25">
        <v>7.97</v>
      </c>
      <c r="J230" s="25">
        <v>-7.97</v>
      </c>
    </row>
    <row r="231" spans="1:10" x14ac:dyDescent="0.25">
      <c r="A231" s="25">
        <v>201040217</v>
      </c>
      <c r="B231" s="24" t="s">
        <v>146</v>
      </c>
      <c r="C231" s="25" t="s">
        <v>162</v>
      </c>
      <c r="D231" s="25" t="s">
        <v>238</v>
      </c>
      <c r="E231" s="25" t="s">
        <v>162</v>
      </c>
      <c r="F231" s="25">
        <v>9144</v>
      </c>
      <c r="G231" s="25" t="s">
        <v>387</v>
      </c>
      <c r="H231" s="25"/>
      <c r="I231" s="25">
        <v>4.13</v>
      </c>
      <c r="J231" s="25">
        <v>-4.13</v>
      </c>
    </row>
    <row r="232" spans="1:10" x14ac:dyDescent="0.25">
      <c r="A232" s="25">
        <v>201040217</v>
      </c>
      <c r="B232" s="24" t="s">
        <v>146</v>
      </c>
      <c r="C232" s="25" t="s">
        <v>119</v>
      </c>
      <c r="D232" s="25" t="s">
        <v>238</v>
      </c>
      <c r="E232" s="25" t="s">
        <v>119</v>
      </c>
      <c r="F232" s="25">
        <v>9101</v>
      </c>
      <c r="G232" s="25" t="s">
        <v>388</v>
      </c>
      <c r="H232" s="25"/>
      <c r="I232" s="25">
        <v>13.85</v>
      </c>
      <c r="J232" s="25">
        <v>-13.85</v>
      </c>
    </row>
    <row r="233" spans="1:10" x14ac:dyDescent="0.25">
      <c r="A233" s="25">
        <v>201040217</v>
      </c>
      <c r="B233" s="24" t="s">
        <v>146</v>
      </c>
      <c r="C233" s="25" t="s">
        <v>164</v>
      </c>
      <c r="D233" s="25" t="s">
        <v>242</v>
      </c>
      <c r="E233" s="25" t="s">
        <v>389</v>
      </c>
      <c r="F233" s="25">
        <v>9010</v>
      </c>
      <c r="G233" s="25" t="s">
        <v>390</v>
      </c>
      <c r="H233" s="25"/>
      <c r="I233" s="25">
        <v>17.16</v>
      </c>
      <c r="J233" s="25">
        <v>-17.16</v>
      </c>
    </row>
    <row r="234" spans="1:10" x14ac:dyDescent="0.25">
      <c r="A234" s="25">
        <v>201040217</v>
      </c>
      <c r="B234" s="24" t="s">
        <v>146</v>
      </c>
      <c r="C234" s="25" t="s">
        <v>389</v>
      </c>
      <c r="D234" s="25" t="s">
        <v>238</v>
      </c>
      <c r="E234" s="25" t="s">
        <v>389</v>
      </c>
      <c r="F234" s="25">
        <v>9028</v>
      </c>
      <c r="G234" s="25" t="s">
        <v>391</v>
      </c>
      <c r="H234" s="25"/>
      <c r="I234" s="25">
        <v>1.65</v>
      </c>
      <c r="J234" s="25">
        <v>-1.65</v>
      </c>
    </row>
    <row r="235" spans="1:10" x14ac:dyDescent="0.25">
      <c r="A235" s="25">
        <v>201040217</v>
      </c>
      <c r="B235" s="24" t="s">
        <v>146</v>
      </c>
      <c r="C235" s="25" t="s">
        <v>96</v>
      </c>
      <c r="D235" s="25" t="s">
        <v>238</v>
      </c>
      <c r="E235" s="25" t="s">
        <v>96</v>
      </c>
      <c r="F235" s="25">
        <v>9102</v>
      </c>
      <c r="G235" s="25" t="s">
        <v>392</v>
      </c>
      <c r="H235" s="25"/>
      <c r="I235" s="25">
        <v>1.69</v>
      </c>
      <c r="J235" s="25">
        <v>-1.69</v>
      </c>
    </row>
    <row r="236" spans="1:10" x14ac:dyDescent="0.25">
      <c r="A236" s="25">
        <v>201040217</v>
      </c>
      <c r="B236" s="24" t="s">
        <v>146</v>
      </c>
      <c r="C236" s="25" t="s">
        <v>96</v>
      </c>
      <c r="D236" s="25" t="s">
        <v>238</v>
      </c>
      <c r="E236" s="25" t="s">
        <v>96</v>
      </c>
      <c r="F236" s="25">
        <v>9103</v>
      </c>
      <c r="G236" s="25" t="s">
        <v>393</v>
      </c>
      <c r="H236" s="25"/>
      <c r="I236" s="25">
        <v>1.65</v>
      </c>
      <c r="J236" s="25">
        <v>-1.65</v>
      </c>
    </row>
    <row r="237" spans="1:10" x14ac:dyDescent="0.25">
      <c r="A237" s="25">
        <v>201040217</v>
      </c>
      <c r="B237" s="24" t="s">
        <v>146</v>
      </c>
      <c r="C237" s="25" t="s">
        <v>96</v>
      </c>
      <c r="D237" s="25" t="s">
        <v>238</v>
      </c>
      <c r="E237" s="25" t="s">
        <v>96</v>
      </c>
      <c r="F237" s="25">
        <v>9152</v>
      </c>
      <c r="G237" s="25" t="s">
        <v>192</v>
      </c>
      <c r="H237" s="25">
        <v>684.9</v>
      </c>
      <c r="I237" s="25"/>
      <c r="J237" s="25">
        <v>684.9</v>
      </c>
    </row>
    <row r="238" spans="1:10" x14ac:dyDescent="0.25">
      <c r="A238" s="25">
        <v>201040217</v>
      </c>
      <c r="B238" s="24" t="s">
        <v>146</v>
      </c>
      <c r="C238" s="25" t="s">
        <v>193</v>
      </c>
      <c r="D238" s="25" t="s">
        <v>242</v>
      </c>
      <c r="E238" s="25" t="s">
        <v>193</v>
      </c>
      <c r="F238" s="25">
        <v>9174</v>
      </c>
      <c r="G238" s="25" t="s">
        <v>394</v>
      </c>
      <c r="H238" s="25"/>
      <c r="I238" s="25">
        <v>2.06</v>
      </c>
      <c r="J238" s="25">
        <v>-2.06</v>
      </c>
    </row>
    <row r="239" spans="1:10" x14ac:dyDescent="0.25">
      <c r="A239" s="25">
        <v>201040217</v>
      </c>
      <c r="B239" s="24" t="s">
        <v>146</v>
      </c>
      <c r="C239" s="25" t="s">
        <v>395</v>
      </c>
      <c r="D239" s="25">
        <v>10</v>
      </c>
      <c r="E239" s="25" t="s">
        <v>163</v>
      </c>
      <c r="F239" s="25">
        <v>9175</v>
      </c>
      <c r="G239" s="25" t="s">
        <v>396</v>
      </c>
      <c r="H239" s="25"/>
      <c r="I239" s="25">
        <v>60.5</v>
      </c>
      <c r="J239" s="25">
        <v>-60.5</v>
      </c>
    </row>
    <row r="240" spans="1:10" x14ac:dyDescent="0.25">
      <c r="A240" s="25">
        <v>201040217</v>
      </c>
      <c r="B240" s="24" t="s">
        <v>146</v>
      </c>
      <c r="C240" s="25" t="s">
        <v>397</v>
      </c>
      <c r="D240" s="25" t="s">
        <v>242</v>
      </c>
      <c r="E240" s="25" t="s">
        <v>397</v>
      </c>
      <c r="F240" s="25">
        <v>9265</v>
      </c>
      <c r="G240" s="25" t="s">
        <v>398</v>
      </c>
      <c r="H240" s="25"/>
      <c r="I240" s="25">
        <v>8.17</v>
      </c>
      <c r="J240" s="25">
        <v>-8.17</v>
      </c>
    </row>
    <row r="241" spans="1:10" x14ac:dyDescent="0.25">
      <c r="A241" s="25">
        <v>201040217</v>
      </c>
      <c r="B241" s="24" t="s">
        <v>146</v>
      </c>
      <c r="C241" s="25" t="s">
        <v>399</v>
      </c>
      <c r="D241" s="25" t="s">
        <v>242</v>
      </c>
      <c r="E241" s="25" t="s">
        <v>399</v>
      </c>
      <c r="F241" s="25">
        <v>9179</v>
      </c>
      <c r="G241" s="25" t="s">
        <v>400</v>
      </c>
      <c r="H241" s="25"/>
      <c r="I241" s="25">
        <v>3.3</v>
      </c>
      <c r="J241" s="25">
        <v>-3.3</v>
      </c>
    </row>
    <row r="242" spans="1:10" x14ac:dyDescent="0.25">
      <c r="A242" s="25">
        <v>201040217</v>
      </c>
      <c r="B242" s="24" t="s">
        <v>146</v>
      </c>
      <c r="C242" s="25" t="s">
        <v>401</v>
      </c>
      <c r="D242" s="25" t="s">
        <v>242</v>
      </c>
      <c r="E242" s="25" t="s">
        <v>401</v>
      </c>
      <c r="F242" s="25">
        <v>9180</v>
      </c>
      <c r="G242" s="25" t="s">
        <v>402</v>
      </c>
      <c r="H242" s="25"/>
      <c r="I242" s="25">
        <v>4.95</v>
      </c>
      <c r="J242" s="25">
        <v>-4.95</v>
      </c>
    </row>
    <row r="243" spans="1:10" x14ac:dyDescent="0.25">
      <c r="A243" s="25">
        <v>201040217</v>
      </c>
      <c r="B243" s="24" t="s">
        <v>146</v>
      </c>
      <c r="C243" s="25" t="s">
        <v>401</v>
      </c>
      <c r="D243" s="25" t="s">
        <v>242</v>
      </c>
      <c r="E243" s="25" t="s">
        <v>401</v>
      </c>
      <c r="F243" s="25">
        <v>9181</v>
      </c>
      <c r="G243" s="25" t="s">
        <v>403</v>
      </c>
      <c r="H243" s="25"/>
      <c r="I243" s="25">
        <v>3.3</v>
      </c>
      <c r="J243" s="25">
        <v>-3.3</v>
      </c>
    </row>
    <row r="244" spans="1:10" x14ac:dyDescent="0.25">
      <c r="A244" s="25">
        <v>201040217</v>
      </c>
      <c r="B244" s="24" t="s">
        <v>146</v>
      </c>
      <c r="C244" s="25" t="s">
        <v>401</v>
      </c>
      <c r="D244" s="25" t="s">
        <v>242</v>
      </c>
      <c r="E244" s="25" t="s">
        <v>401</v>
      </c>
      <c r="F244" s="25">
        <v>9182</v>
      </c>
      <c r="G244" s="25" t="s">
        <v>404</v>
      </c>
      <c r="H244" s="25"/>
      <c r="I244" s="25">
        <v>3.3</v>
      </c>
      <c r="J244" s="25">
        <v>-3.3</v>
      </c>
    </row>
    <row r="245" spans="1:10" x14ac:dyDescent="0.25">
      <c r="A245" s="25">
        <v>201040217</v>
      </c>
      <c r="B245" s="24" t="s">
        <v>146</v>
      </c>
      <c r="C245" s="25" t="s">
        <v>405</v>
      </c>
      <c r="D245" s="25" t="s">
        <v>242</v>
      </c>
      <c r="E245" s="25" t="s">
        <v>405</v>
      </c>
      <c r="F245" s="25">
        <v>9260</v>
      </c>
      <c r="G245" s="25" t="s">
        <v>406</v>
      </c>
      <c r="H245" s="25"/>
      <c r="I245" s="25">
        <v>1.74</v>
      </c>
      <c r="J245" s="25">
        <v>-1.74</v>
      </c>
    </row>
    <row r="246" spans="1:10" x14ac:dyDescent="0.25">
      <c r="A246" s="25">
        <v>201040217</v>
      </c>
      <c r="B246" s="24" t="s">
        <v>146</v>
      </c>
      <c r="C246" s="25" t="s">
        <v>123</v>
      </c>
      <c r="D246" s="25" t="s">
        <v>242</v>
      </c>
      <c r="E246" s="25" t="s">
        <v>123</v>
      </c>
      <c r="F246" s="25">
        <v>9284</v>
      </c>
      <c r="G246" s="25" t="s">
        <v>195</v>
      </c>
      <c r="H246" s="25">
        <v>129.19</v>
      </c>
      <c r="I246" s="25"/>
      <c r="J246" s="25">
        <v>129.19</v>
      </c>
    </row>
    <row r="247" spans="1:10" x14ac:dyDescent="0.25">
      <c r="A247" s="25">
        <v>201040217</v>
      </c>
      <c r="B247" s="24" t="s">
        <v>146</v>
      </c>
      <c r="C247" s="25" t="s">
        <v>140</v>
      </c>
      <c r="D247" s="25" t="s">
        <v>242</v>
      </c>
      <c r="E247" s="25" t="s">
        <v>140</v>
      </c>
      <c r="F247" s="25">
        <v>9264</v>
      </c>
      <c r="G247" s="25" t="s">
        <v>407</v>
      </c>
      <c r="H247" s="25"/>
      <c r="I247" s="25">
        <v>8.0399999999999991</v>
      </c>
      <c r="J247" s="25">
        <v>-8.0399999999999991</v>
      </c>
    </row>
    <row r="248" spans="1:10" x14ac:dyDescent="0.25">
      <c r="A248" s="25">
        <v>201040217</v>
      </c>
      <c r="B248" s="24" t="s">
        <v>146</v>
      </c>
      <c r="C248" s="25" t="s">
        <v>124</v>
      </c>
      <c r="D248" s="25">
        <v>10</v>
      </c>
      <c r="E248" s="25" t="s">
        <v>141</v>
      </c>
      <c r="F248" s="25">
        <v>9271</v>
      </c>
      <c r="G248" s="25" t="s">
        <v>408</v>
      </c>
      <c r="H248" s="25"/>
      <c r="I248" s="25">
        <v>17.16</v>
      </c>
      <c r="J248" s="25">
        <v>-17.16</v>
      </c>
    </row>
    <row r="249" spans="1:10" x14ac:dyDescent="0.25">
      <c r="A249" s="25">
        <v>201040217</v>
      </c>
      <c r="B249" s="24" t="s">
        <v>146</v>
      </c>
      <c r="C249" s="25" t="s">
        <v>165</v>
      </c>
      <c r="D249" s="25">
        <v>10</v>
      </c>
      <c r="E249" s="25" t="s">
        <v>165</v>
      </c>
      <c r="F249" s="25">
        <v>9296</v>
      </c>
      <c r="G249" s="25" t="s">
        <v>409</v>
      </c>
      <c r="H249" s="25"/>
      <c r="I249" s="25">
        <v>2.06</v>
      </c>
      <c r="J249" s="25">
        <v>-2.06</v>
      </c>
    </row>
    <row r="250" spans="1:10" x14ac:dyDescent="0.25">
      <c r="A250" s="25">
        <v>201040217</v>
      </c>
      <c r="B250" s="24" t="s">
        <v>146</v>
      </c>
      <c r="C250" s="25" t="s">
        <v>410</v>
      </c>
      <c r="D250" s="17">
        <v>1</v>
      </c>
      <c r="E250" s="25" t="s">
        <v>395</v>
      </c>
      <c r="F250" s="25">
        <v>9372</v>
      </c>
      <c r="G250" s="25" t="s">
        <v>411</v>
      </c>
      <c r="H250" s="25"/>
      <c r="I250" s="25">
        <v>60.5</v>
      </c>
      <c r="J250" s="25">
        <v>-60.5</v>
      </c>
    </row>
    <row r="251" spans="1:10" x14ac:dyDescent="0.25">
      <c r="A251" s="25">
        <v>201040217</v>
      </c>
      <c r="B251" s="24" t="s">
        <v>146</v>
      </c>
      <c r="C251" s="25" t="s">
        <v>126</v>
      </c>
      <c r="D251" s="25">
        <v>10</v>
      </c>
      <c r="E251" s="25" t="s">
        <v>126</v>
      </c>
      <c r="F251" s="25">
        <v>9424</v>
      </c>
      <c r="G251" s="25" t="s">
        <v>197</v>
      </c>
      <c r="H251" s="25">
        <v>112.52</v>
      </c>
      <c r="I251" s="25"/>
      <c r="J251" s="25">
        <v>112.52</v>
      </c>
    </row>
    <row r="252" spans="1:10" x14ac:dyDescent="0.25">
      <c r="A252" s="25">
        <v>201040217</v>
      </c>
      <c r="B252" s="24" t="s">
        <v>146</v>
      </c>
      <c r="C252" s="25" t="s">
        <v>412</v>
      </c>
      <c r="D252" s="17">
        <v>1</v>
      </c>
      <c r="E252" s="25" t="s">
        <v>413</v>
      </c>
      <c r="F252" s="25">
        <v>9363</v>
      </c>
      <c r="G252" s="25" t="s">
        <v>414</v>
      </c>
      <c r="H252" s="25"/>
      <c r="I252" s="25">
        <v>17.16</v>
      </c>
      <c r="J252" s="25">
        <v>-17.16</v>
      </c>
    </row>
    <row r="253" spans="1:10" x14ac:dyDescent="0.25">
      <c r="A253" s="17">
        <v>201040206</v>
      </c>
      <c r="B253" s="24" t="s">
        <v>168</v>
      </c>
      <c r="C253" s="17">
        <v>2021</v>
      </c>
      <c r="D253" s="17">
        <v>1</v>
      </c>
      <c r="E253" s="17" t="s">
        <v>43</v>
      </c>
      <c r="F253" s="17"/>
      <c r="G253" s="17" t="s">
        <v>168</v>
      </c>
      <c r="H253" s="18"/>
      <c r="I253" s="18"/>
      <c r="J253" s="18">
        <v>0</v>
      </c>
    </row>
    <row r="254" spans="1:10" x14ac:dyDescent="0.25">
      <c r="A254" s="17">
        <v>201040206</v>
      </c>
      <c r="B254" s="24" t="s">
        <v>168</v>
      </c>
      <c r="C254" s="17" t="s">
        <v>48</v>
      </c>
      <c r="D254" s="17">
        <v>1</v>
      </c>
      <c r="E254" s="17" t="s">
        <v>48</v>
      </c>
      <c r="F254" s="17">
        <v>7995</v>
      </c>
      <c r="G254" s="17" t="s">
        <v>415</v>
      </c>
      <c r="H254" s="18"/>
      <c r="I254" s="18">
        <v>6.4</v>
      </c>
      <c r="J254" s="18">
        <v>-6.4</v>
      </c>
    </row>
    <row r="255" spans="1:10" x14ac:dyDescent="0.25">
      <c r="A255" s="17">
        <v>201040206</v>
      </c>
      <c r="B255" s="24" t="s">
        <v>168</v>
      </c>
      <c r="C255" s="17" t="s">
        <v>52</v>
      </c>
      <c r="D255" s="17" t="str">
        <f t="shared" ref="D255:D262" si="1">+MID(C255,5,1)</f>
        <v>2</v>
      </c>
      <c r="E255" s="17" t="s">
        <v>52</v>
      </c>
      <c r="F255" s="17">
        <v>8312</v>
      </c>
      <c r="G255" s="17" t="s">
        <v>178</v>
      </c>
      <c r="H255" s="18">
        <v>6.4</v>
      </c>
      <c r="I255" s="18"/>
      <c r="J255" s="18">
        <v>6.4</v>
      </c>
    </row>
    <row r="256" spans="1:10" x14ac:dyDescent="0.25">
      <c r="A256" s="17">
        <v>201040206</v>
      </c>
      <c r="B256" s="24" t="s">
        <v>168</v>
      </c>
      <c r="C256" s="17" t="s">
        <v>84</v>
      </c>
      <c r="D256" s="17" t="str">
        <f t="shared" si="1"/>
        <v>5</v>
      </c>
      <c r="E256" s="17" t="s">
        <v>84</v>
      </c>
      <c r="F256" s="17">
        <v>8634</v>
      </c>
      <c r="G256" s="17" t="s">
        <v>416</v>
      </c>
      <c r="H256" s="18"/>
      <c r="I256" s="18">
        <v>3.2</v>
      </c>
      <c r="J256" s="18">
        <v>-3.2</v>
      </c>
    </row>
    <row r="257" spans="1:10" x14ac:dyDescent="0.25">
      <c r="A257" s="17">
        <v>201040206</v>
      </c>
      <c r="B257" s="24" t="s">
        <v>168</v>
      </c>
      <c r="C257" s="17" t="s">
        <v>230</v>
      </c>
      <c r="D257" s="17" t="str">
        <f t="shared" si="1"/>
        <v>6</v>
      </c>
      <c r="E257" s="17" t="s">
        <v>230</v>
      </c>
      <c r="F257" s="17">
        <v>8886</v>
      </c>
      <c r="G257" s="17" t="s">
        <v>231</v>
      </c>
      <c r="H257" s="18">
        <v>3.2</v>
      </c>
      <c r="I257" s="18"/>
      <c r="J257" s="18">
        <v>3.2</v>
      </c>
    </row>
    <row r="258" spans="1:10" x14ac:dyDescent="0.25">
      <c r="A258" s="17">
        <v>201040206</v>
      </c>
      <c r="B258" s="24" t="s">
        <v>168</v>
      </c>
      <c r="C258" s="17" t="s">
        <v>133</v>
      </c>
      <c r="D258" s="17" t="str">
        <f t="shared" si="1"/>
        <v>6</v>
      </c>
      <c r="E258" s="17" t="s">
        <v>133</v>
      </c>
      <c r="F258" s="17">
        <v>8771</v>
      </c>
      <c r="G258" s="17" t="s">
        <v>417</v>
      </c>
      <c r="H258" s="18"/>
      <c r="I258" s="18">
        <v>32</v>
      </c>
      <c r="J258" s="18">
        <v>-32</v>
      </c>
    </row>
    <row r="259" spans="1:10" x14ac:dyDescent="0.25">
      <c r="A259" s="17">
        <v>201040206</v>
      </c>
      <c r="B259" s="24" t="s">
        <v>168</v>
      </c>
      <c r="C259" s="17" t="s">
        <v>95</v>
      </c>
      <c r="D259" s="17" t="str">
        <f t="shared" si="1"/>
        <v>7</v>
      </c>
      <c r="E259" s="17" t="s">
        <v>95</v>
      </c>
      <c r="F259" s="17">
        <v>8956</v>
      </c>
      <c r="G259" s="17" t="s">
        <v>234</v>
      </c>
      <c r="H259" s="18">
        <v>2040</v>
      </c>
      <c r="I259" s="18"/>
      <c r="J259" s="18">
        <v>2040</v>
      </c>
    </row>
    <row r="260" spans="1:10" x14ac:dyDescent="0.25">
      <c r="A260" s="17">
        <v>201040206</v>
      </c>
      <c r="B260" s="24" t="s">
        <v>168</v>
      </c>
      <c r="C260" s="17" t="s">
        <v>95</v>
      </c>
      <c r="D260" s="17" t="str">
        <f t="shared" si="1"/>
        <v>7</v>
      </c>
      <c r="E260" s="17" t="s">
        <v>95</v>
      </c>
      <c r="F260" s="17">
        <v>8986</v>
      </c>
      <c r="G260" s="17" t="s">
        <v>235</v>
      </c>
      <c r="H260" s="18">
        <v>-2040</v>
      </c>
      <c r="I260" s="18"/>
      <c r="J260" s="18">
        <v>-2040</v>
      </c>
    </row>
    <row r="261" spans="1:10" x14ac:dyDescent="0.25">
      <c r="A261" s="17">
        <v>201040206</v>
      </c>
      <c r="B261" s="24" t="s">
        <v>168</v>
      </c>
      <c r="C261" s="17" t="s">
        <v>95</v>
      </c>
      <c r="D261" s="17" t="str">
        <f t="shared" si="1"/>
        <v>7</v>
      </c>
      <c r="E261" s="17" t="s">
        <v>95</v>
      </c>
      <c r="F261" s="17">
        <v>8987</v>
      </c>
      <c r="G261" s="17" t="s">
        <v>234</v>
      </c>
      <c r="H261" s="18">
        <v>32</v>
      </c>
      <c r="I261" s="18"/>
      <c r="J261" s="18">
        <v>32</v>
      </c>
    </row>
    <row r="262" spans="1:10" x14ac:dyDescent="0.25">
      <c r="A262" s="17">
        <v>201040206</v>
      </c>
      <c r="B262" s="24" t="s">
        <v>168</v>
      </c>
      <c r="C262" s="17" t="s">
        <v>418</v>
      </c>
      <c r="D262" s="17" t="str">
        <f t="shared" si="1"/>
        <v>9</v>
      </c>
      <c r="E262" s="17" t="s">
        <v>418</v>
      </c>
      <c r="F262" s="17">
        <v>9172</v>
      </c>
      <c r="G262" s="17" t="s">
        <v>419</v>
      </c>
      <c r="H262" s="18"/>
      <c r="I262" s="18">
        <v>4.71</v>
      </c>
      <c r="J262" s="18">
        <v>-4.71</v>
      </c>
    </row>
    <row r="263" spans="1:10" x14ac:dyDescent="0.25">
      <c r="A263" s="17">
        <v>201040206</v>
      </c>
      <c r="B263" s="24" t="s">
        <v>168</v>
      </c>
      <c r="C263" s="17" t="s">
        <v>143</v>
      </c>
      <c r="D263" s="17">
        <v>10</v>
      </c>
      <c r="E263" s="17" t="s">
        <v>143</v>
      </c>
      <c r="F263" s="17">
        <v>9295</v>
      </c>
      <c r="G263" s="17" t="s">
        <v>420</v>
      </c>
      <c r="H263" s="18"/>
      <c r="I263" s="18">
        <v>4.68</v>
      </c>
      <c r="J263" s="18">
        <v>-4.68</v>
      </c>
    </row>
    <row r="264" spans="1:10" x14ac:dyDescent="0.25">
      <c r="A264" s="17">
        <v>201040206</v>
      </c>
      <c r="B264" s="24" t="s">
        <v>168</v>
      </c>
      <c r="C264" s="17" t="s">
        <v>126</v>
      </c>
      <c r="D264" s="17">
        <v>10</v>
      </c>
      <c r="E264" s="17" t="s">
        <v>126</v>
      </c>
      <c r="F264" s="17">
        <v>9424</v>
      </c>
      <c r="G264" s="17" t="s">
        <v>197</v>
      </c>
      <c r="H264" s="18">
        <v>4.71</v>
      </c>
      <c r="I264" s="18"/>
      <c r="J264" s="18">
        <v>4.71</v>
      </c>
    </row>
    <row r="265" spans="1:10" x14ac:dyDescent="0.25">
      <c r="A265" s="17">
        <v>201040214</v>
      </c>
      <c r="B265" s="17" t="s">
        <v>421</v>
      </c>
      <c r="C265" s="17">
        <v>2021</v>
      </c>
      <c r="D265" s="17">
        <v>1</v>
      </c>
      <c r="E265" s="17" t="s">
        <v>43</v>
      </c>
      <c r="F265" s="17"/>
      <c r="G265" s="17" t="s">
        <v>421</v>
      </c>
      <c r="H265" s="18"/>
      <c r="I265" s="18"/>
      <c r="J265" s="18">
        <v>0</v>
      </c>
    </row>
    <row r="266" spans="1:10" x14ac:dyDescent="0.25">
      <c r="A266" s="17">
        <v>201040214</v>
      </c>
      <c r="B266" s="17" t="s">
        <v>421</v>
      </c>
      <c r="C266" s="17" t="s">
        <v>45</v>
      </c>
      <c r="D266" s="17">
        <v>1</v>
      </c>
      <c r="E266" s="17" t="s">
        <v>250</v>
      </c>
      <c r="F266" s="17">
        <v>8007</v>
      </c>
      <c r="G266" s="17" t="s">
        <v>251</v>
      </c>
      <c r="H266" s="18">
        <v>0</v>
      </c>
      <c r="I266" s="18">
        <v>0</v>
      </c>
      <c r="J266" s="18">
        <v>0</v>
      </c>
    </row>
    <row r="267" spans="1:10" x14ac:dyDescent="0.25">
      <c r="A267" s="17">
        <v>201040214</v>
      </c>
      <c r="B267" s="17" t="s">
        <v>421</v>
      </c>
      <c r="C267" s="17" t="s">
        <v>45</v>
      </c>
      <c r="D267" s="17">
        <v>1</v>
      </c>
      <c r="E267" s="17" t="s">
        <v>199</v>
      </c>
      <c r="F267" s="17">
        <v>8111</v>
      </c>
      <c r="G267" s="17" t="s">
        <v>200</v>
      </c>
      <c r="H267" s="18">
        <v>0</v>
      </c>
      <c r="I267" s="18">
        <v>0</v>
      </c>
      <c r="J267" s="18">
        <v>0</v>
      </c>
    </row>
    <row r="268" spans="1:10" x14ac:dyDescent="0.25">
      <c r="A268" s="17">
        <v>201040214</v>
      </c>
      <c r="B268" s="17" t="s">
        <v>421</v>
      </c>
      <c r="C268" s="17" t="s">
        <v>45</v>
      </c>
      <c r="D268" s="17">
        <v>1</v>
      </c>
      <c r="E268" s="17" t="s">
        <v>199</v>
      </c>
      <c r="F268" s="17">
        <v>8116</v>
      </c>
      <c r="G268" s="17" t="s">
        <v>201</v>
      </c>
      <c r="H268" s="18">
        <v>0</v>
      </c>
      <c r="I268" s="18">
        <v>0</v>
      </c>
      <c r="J268" s="18">
        <v>0</v>
      </c>
    </row>
    <row r="269" spans="1:10" x14ac:dyDescent="0.25">
      <c r="A269" s="17">
        <v>201040214</v>
      </c>
      <c r="B269" s="17" t="s">
        <v>421</v>
      </c>
      <c r="C269" s="17" t="s">
        <v>175</v>
      </c>
      <c r="D269" s="17" t="str">
        <f t="shared" ref="D269:D329" si="2">+MID(C269,5,1)</f>
        <v>2</v>
      </c>
      <c r="E269" s="17" t="s">
        <v>45</v>
      </c>
      <c r="F269" s="17">
        <v>7936</v>
      </c>
      <c r="G269" s="17" t="s">
        <v>422</v>
      </c>
      <c r="H269" s="18">
        <v>0</v>
      </c>
      <c r="I269" s="18">
        <v>0</v>
      </c>
      <c r="J269" s="18">
        <v>0</v>
      </c>
    </row>
    <row r="270" spans="1:10" x14ac:dyDescent="0.25">
      <c r="A270" s="17">
        <v>201040214</v>
      </c>
      <c r="B270" s="17" t="s">
        <v>421</v>
      </c>
      <c r="C270" s="17" t="s">
        <v>45</v>
      </c>
      <c r="D270" s="17">
        <v>1</v>
      </c>
      <c r="E270" s="17" t="s">
        <v>45</v>
      </c>
      <c r="F270" s="17">
        <v>8001</v>
      </c>
      <c r="G270" s="17" t="s">
        <v>202</v>
      </c>
      <c r="H270" s="18">
        <v>0</v>
      </c>
      <c r="I270" s="18">
        <v>0</v>
      </c>
      <c r="J270" s="18">
        <v>0</v>
      </c>
    </row>
    <row r="271" spans="1:10" x14ac:dyDescent="0.25">
      <c r="A271" s="17">
        <v>201040214</v>
      </c>
      <c r="B271" s="17" t="s">
        <v>421</v>
      </c>
      <c r="C271" s="17" t="s">
        <v>45</v>
      </c>
      <c r="D271" s="17">
        <v>1</v>
      </c>
      <c r="E271" s="17" t="s">
        <v>45</v>
      </c>
      <c r="F271" s="17">
        <v>8002</v>
      </c>
      <c r="G271" s="17" t="s">
        <v>203</v>
      </c>
      <c r="H271" s="18">
        <v>0</v>
      </c>
      <c r="I271" s="18">
        <v>0</v>
      </c>
      <c r="J271" s="18">
        <v>0</v>
      </c>
    </row>
    <row r="272" spans="1:10" x14ac:dyDescent="0.25">
      <c r="A272" s="17">
        <v>201040214</v>
      </c>
      <c r="B272" s="17" t="s">
        <v>421</v>
      </c>
      <c r="C272" s="17" t="s">
        <v>45</v>
      </c>
      <c r="D272" s="17">
        <v>1</v>
      </c>
      <c r="E272" s="17" t="s">
        <v>45</v>
      </c>
      <c r="F272" s="17">
        <v>8003</v>
      </c>
      <c r="G272" s="17" t="s">
        <v>204</v>
      </c>
      <c r="H272" s="18">
        <v>0</v>
      </c>
      <c r="I272" s="18">
        <v>0</v>
      </c>
      <c r="J272" s="18">
        <v>0</v>
      </c>
    </row>
    <row r="273" spans="1:10" x14ac:dyDescent="0.25">
      <c r="A273" s="17">
        <v>201040214</v>
      </c>
      <c r="B273" s="17" t="s">
        <v>421</v>
      </c>
      <c r="C273" s="17" t="s">
        <v>45</v>
      </c>
      <c r="D273" s="17">
        <v>1</v>
      </c>
      <c r="E273" s="17" t="s">
        <v>45</v>
      </c>
      <c r="F273" s="17">
        <v>8004</v>
      </c>
      <c r="G273" s="17" t="s">
        <v>205</v>
      </c>
      <c r="H273" s="18">
        <v>0</v>
      </c>
      <c r="I273" s="18">
        <v>0</v>
      </c>
      <c r="J273" s="18">
        <v>0</v>
      </c>
    </row>
    <row r="274" spans="1:10" x14ac:dyDescent="0.25">
      <c r="A274" s="17">
        <v>201040214</v>
      </c>
      <c r="B274" s="17" t="s">
        <v>421</v>
      </c>
      <c r="C274" s="17" t="s">
        <v>45</v>
      </c>
      <c r="D274" s="17">
        <v>1</v>
      </c>
      <c r="E274" s="17" t="s">
        <v>45</v>
      </c>
      <c r="F274" s="17">
        <v>8005</v>
      </c>
      <c r="G274" s="17" t="s">
        <v>206</v>
      </c>
      <c r="H274" s="18">
        <v>0</v>
      </c>
      <c r="I274" s="18">
        <v>0</v>
      </c>
      <c r="J274" s="18">
        <v>0</v>
      </c>
    </row>
    <row r="275" spans="1:10" x14ac:dyDescent="0.25">
      <c r="A275" s="17">
        <v>201040214</v>
      </c>
      <c r="B275" s="17" t="s">
        <v>421</v>
      </c>
      <c r="C275" s="17" t="s">
        <v>45</v>
      </c>
      <c r="D275" s="17">
        <v>1</v>
      </c>
      <c r="E275" s="17" t="s">
        <v>45</v>
      </c>
      <c r="F275" s="17">
        <v>8015</v>
      </c>
      <c r="G275" s="17" t="s">
        <v>201</v>
      </c>
      <c r="H275" s="18">
        <v>0</v>
      </c>
      <c r="I275" s="18">
        <v>0</v>
      </c>
      <c r="J275" s="18">
        <v>0</v>
      </c>
    </row>
    <row r="276" spans="1:10" x14ac:dyDescent="0.25">
      <c r="A276" s="17">
        <v>201040214</v>
      </c>
      <c r="B276" s="17" t="s">
        <v>421</v>
      </c>
      <c r="C276" s="17" t="s">
        <v>45</v>
      </c>
      <c r="D276" s="17">
        <v>1</v>
      </c>
      <c r="E276" s="17" t="s">
        <v>45</v>
      </c>
      <c r="F276" s="17">
        <v>8016</v>
      </c>
      <c r="G276" s="17" t="s">
        <v>201</v>
      </c>
      <c r="H276" s="18">
        <v>0</v>
      </c>
      <c r="I276" s="18">
        <v>0</v>
      </c>
      <c r="J276" s="18">
        <v>0</v>
      </c>
    </row>
    <row r="277" spans="1:10" x14ac:dyDescent="0.25">
      <c r="A277" s="17">
        <v>201040214</v>
      </c>
      <c r="B277" s="17" t="s">
        <v>421</v>
      </c>
      <c r="C277" s="17" t="s">
        <v>45</v>
      </c>
      <c r="D277" s="17">
        <v>1</v>
      </c>
      <c r="E277" s="17" t="s">
        <v>45</v>
      </c>
      <c r="F277" s="17">
        <v>8018</v>
      </c>
      <c r="G277" s="17" t="s">
        <v>201</v>
      </c>
      <c r="H277" s="18">
        <v>0</v>
      </c>
      <c r="I277" s="18">
        <v>0</v>
      </c>
      <c r="J277" s="18">
        <v>0</v>
      </c>
    </row>
    <row r="278" spans="1:10" x14ac:dyDescent="0.25">
      <c r="A278" s="17">
        <v>201040214</v>
      </c>
      <c r="B278" s="17" t="s">
        <v>421</v>
      </c>
      <c r="C278" s="17" t="s">
        <v>46</v>
      </c>
      <c r="D278" s="17">
        <v>1</v>
      </c>
      <c r="E278" s="17" t="s">
        <v>46</v>
      </c>
      <c r="F278" s="17">
        <v>7940</v>
      </c>
      <c r="G278" s="17" t="s">
        <v>423</v>
      </c>
      <c r="H278" s="18">
        <v>0</v>
      </c>
      <c r="I278" s="18">
        <v>0</v>
      </c>
      <c r="J278" s="18">
        <v>0</v>
      </c>
    </row>
    <row r="279" spans="1:10" x14ac:dyDescent="0.25">
      <c r="A279" s="17">
        <v>201040214</v>
      </c>
      <c r="B279" s="17" t="s">
        <v>421</v>
      </c>
      <c r="C279" s="17" t="s">
        <v>46</v>
      </c>
      <c r="D279" s="17">
        <v>1</v>
      </c>
      <c r="E279" s="17" t="s">
        <v>46</v>
      </c>
      <c r="F279" s="17">
        <v>7941</v>
      </c>
      <c r="G279" s="17" t="s">
        <v>424</v>
      </c>
      <c r="H279" s="18">
        <v>0</v>
      </c>
      <c r="I279" s="18">
        <v>0</v>
      </c>
      <c r="J279" s="18">
        <v>0</v>
      </c>
    </row>
    <row r="280" spans="1:10" x14ac:dyDescent="0.25">
      <c r="A280" s="17">
        <v>201040214</v>
      </c>
      <c r="B280" s="17" t="s">
        <v>421</v>
      </c>
      <c r="C280" s="17" t="s">
        <v>46</v>
      </c>
      <c r="D280" s="17">
        <v>1</v>
      </c>
      <c r="E280" s="17" t="s">
        <v>46</v>
      </c>
      <c r="F280" s="17">
        <v>7945</v>
      </c>
      <c r="G280" s="17" t="s">
        <v>425</v>
      </c>
      <c r="H280" s="18">
        <v>0</v>
      </c>
      <c r="I280" s="18">
        <v>0</v>
      </c>
      <c r="J280" s="18">
        <v>0</v>
      </c>
    </row>
    <row r="281" spans="1:10" x14ac:dyDescent="0.25">
      <c r="A281" s="17">
        <v>201040214</v>
      </c>
      <c r="B281" s="17" t="s">
        <v>421</v>
      </c>
      <c r="C281" s="17" t="s">
        <v>46</v>
      </c>
      <c r="D281" s="17">
        <v>1</v>
      </c>
      <c r="E281" s="17" t="s">
        <v>46</v>
      </c>
      <c r="F281" s="17">
        <v>8077</v>
      </c>
      <c r="G281" s="17" t="s">
        <v>426</v>
      </c>
      <c r="H281" s="18">
        <v>0</v>
      </c>
      <c r="I281" s="18">
        <v>0</v>
      </c>
      <c r="J281" s="18">
        <v>0</v>
      </c>
    </row>
    <row r="282" spans="1:10" x14ac:dyDescent="0.25">
      <c r="A282" s="17">
        <v>201040214</v>
      </c>
      <c r="B282" s="17" t="s">
        <v>421</v>
      </c>
      <c r="C282" s="17" t="s">
        <v>58</v>
      </c>
      <c r="D282" s="17" t="str">
        <f t="shared" si="2"/>
        <v>2</v>
      </c>
      <c r="E282" s="17" t="s">
        <v>127</v>
      </c>
      <c r="F282" s="17">
        <v>7937</v>
      </c>
      <c r="G282" s="17" t="s">
        <v>427</v>
      </c>
      <c r="H282" s="18">
        <v>0</v>
      </c>
      <c r="I282" s="18">
        <v>0</v>
      </c>
      <c r="J282" s="18">
        <v>0</v>
      </c>
    </row>
    <row r="283" spans="1:10" x14ac:dyDescent="0.25">
      <c r="A283" s="17">
        <v>201040214</v>
      </c>
      <c r="B283" s="17" t="s">
        <v>421</v>
      </c>
      <c r="C283" s="17" t="s">
        <v>147</v>
      </c>
      <c r="D283" s="17">
        <v>1</v>
      </c>
      <c r="E283" s="17" t="s">
        <v>147</v>
      </c>
      <c r="F283" s="17">
        <v>7943</v>
      </c>
      <c r="G283" s="17" t="s">
        <v>428</v>
      </c>
      <c r="H283" s="18">
        <v>0</v>
      </c>
      <c r="I283" s="18">
        <v>0</v>
      </c>
      <c r="J283" s="18">
        <v>0</v>
      </c>
    </row>
    <row r="284" spans="1:10" x14ac:dyDescent="0.25">
      <c r="A284" s="17">
        <v>201040214</v>
      </c>
      <c r="B284" s="17" t="s">
        <v>421</v>
      </c>
      <c r="C284" s="17" t="s">
        <v>147</v>
      </c>
      <c r="D284" s="17">
        <v>1</v>
      </c>
      <c r="E284" s="17" t="s">
        <v>147</v>
      </c>
      <c r="F284" s="17">
        <v>8006</v>
      </c>
      <c r="G284" s="17" t="s">
        <v>207</v>
      </c>
      <c r="H284" s="18">
        <v>0</v>
      </c>
      <c r="I284" s="18">
        <v>0</v>
      </c>
      <c r="J284" s="18">
        <v>0</v>
      </c>
    </row>
    <row r="285" spans="1:10" x14ac:dyDescent="0.25">
      <c r="A285" s="17">
        <v>201040214</v>
      </c>
      <c r="B285" s="17" t="s">
        <v>421</v>
      </c>
      <c r="C285" s="17" t="s">
        <v>147</v>
      </c>
      <c r="D285" s="17">
        <v>1</v>
      </c>
      <c r="E285" s="17" t="s">
        <v>147</v>
      </c>
      <c r="F285" s="17">
        <v>8017</v>
      </c>
      <c r="G285" s="17" t="s">
        <v>201</v>
      </c>
      <c r="H285" s="18">
        <v>0</v>
      </c>
      <c r="I285" s="18">
        <v>0</v>
      </c>
      <c r="J285" s="18">
        <v>0</v>
      </c>
    </row>
    <row r="286" spans="1:10" x14ac:dyDescent="0.25">
      <c r="A286" s="17">
        <v>201040214</v>
      </c>
      <c r="B286" s="17" t="s">
        <v>421</v>
      </c>
      <c r="C286" s="17" t="s">
        <v>147</v>
      </c>
      <c r="D286" s="17">
        <v>1</v>
      </c>
      <c r="E286" s="17" t="s">
        <v>147</v>
      </c>
      <c r="F286" s="17">
        <v>8076</v>
      </c>
      <c r="G286" s="17" t="s">
        <v>429</v>
      </c>
      <c r="H286" s="18">
        <v>0</v>
      </c>
      <c r="I286" s="18">
        <v>0</v>
      </c>
      <c r="J286" s="18">
        <v>0</v>
      </c>
    </row>
    <row r="287" spans="1:10" x14ac:dyDescent="0.25">
      <c r="A287" s="17">
        <v>201040214</v>
      </c>
      <c r="B287" s="17" t="s">
        <v>421</v>
      </c>
      <c r="C287" s="17" t="s">
        <v>47</v>
      </c>
      <c r="D287" s="17">
        <v>1</v>
      </c>
      <c r="E287" s="17" t="s">
        <v>47</v>
      </c>
      <c r="F287" s="17">
        <v>8009</v>
      </c>
      <c r="G287" s="17" t="s">
        <v>430</v>
      </c>
      <c r="H287" s="18">
        <v>0</v>
      </c>
      <c r="I287" s="18">
        <v>0</v>
      </c>
      <c r="J287" s="18">
        <v>0</v>
      </c>
    </row>
    <row r="288" spans="1:10" x14ac:dyDescent="0.25">
      <c r="A288" s="17">
        <v>201040214</v>
      </c>
      <c r="B288" s="17" t="s">
        <v>421</v>
      </c>
      <c r="C288" s="17" t="s">
        <v>47</v>
      </c>
      <c r="D288" s="17">
        <v>1</v>
      </c>
      <c r="E288" s="17" t="s">
        <v>47</v>
      </c>
      <c r="F288" s="17">
        <v>8010</v>
      </c>
      <c r="G288" s="17" t="s">
        <v>431</v>
      </c>
      <c r="H288" s="18">
        <v>0</v>
      </c>
      <c r="I288" s="18">
        <v>0</v>
      </c>
      <c r="J288" s="18">
        <v>0</v>
      </c>
    </row>
    <row r="289" spans="1:10" x14ac:dyDescent="0.25">
      <c r="A289" s="17">
        <v>201040214</v>
      </c>
      <c r="B289" s="17" t="s">
        <v>421</v>
      </c>
      <c r="C289" s="17" t="s">
        <v>49</v>
      </c>
      <c r="D289" s="17">
        <v>1</v>
      </c>
      <c r="E289" s="17" t="s">
        <v>49</v>
      </c>
      <c r="F289" s="17">
        <v>7996</v>
      </c>
      <c r="G289" s="17" t="s">
        <v>432</v>
      </c>
      <c r="H289" s="18">
        <v>0</v>
      </c>
      <c r="I289" s="18">
        <v>0</v>
      </c>
      <c r="J289" s="18">
        <v>0</v>
      </c>
    </row>
    <row r="290" spans="1:10" x14ac:dyDescent="0.25">
      <c r="A290" s="17">
        <v>201040214</v>
      </c>
      <c r="B290" s="17" t="s">
        <v>421</v>
      </c>
      <c r="C290" s="17" t="s">
        <v>100</v>
      </c>
      <c r="D290" s="17" t="str">
        <f t="shared" si="2"/>
        <v>2</v>
      </c>
      <c r="E290" s="17" t="s">
        <v>49</v>
      </c>
      <c r="F290" s="17">
        <v>8019</v>
      </c>
      <c r="G290" s="17" t="s">
        <v>433</v>
      </c>
      <c r="H290" s="18">
        <v>0</v>
      </c>
      <c r="I290" s="18">
        <v>0</v>
      </c>
      <c r="J290" s="18">
        <v>0</v>
      </c>
    </row>
    <row r="291" spans="1:10" x14ac:dyDescent="0.25">
      <c r="A291" s="17">
        <v>201040214</v>
      </c>
      <c r="B291" s="17" t="s">
        <v>421</v>
      </c>
      <c r="C291" s="17" t="s">
        <v>52</v>
      </c>
      <c r="D291" s="17" t="str">
        <f t="shared" si="2"/>
        <v>2</v>
      </c>
      <c r="E291" s="17" t="s">
        <v>51</v>
      </c>
      <c r="F291" s="17">
        <v>8022</v>
      </c>
      <c r="G291" s="17" t="s">
        <v>434</v>
      </c>
      <c r="H291" s="18">
        <v>0</v>
      </c>
      <c r="I291" s="18">
        <v>0</v>
      </c>
      <c r="J291" s="18">
        <v>0</v>
      </c>
    </row>
    <row r="292" spans="1:10" x14ac:dyDescent="0.25">
      <c r="A292" s="17">
        <v>201040214</v>
      </c>
      <c r="B292" s="17" t="s">
        <v>421</v>
      </c>
      <c r="C292" s="17" t="s">
        <v>51</v>
      </c>
      <c r="D292" s="17">
        <v>1</v>
      </c>
      <c r="E292" s="17" t="s">
        <v>51</v>
      </c>
      <c r="F292" s="17">
        <v>8075</v>
      </c>
      <c r="G292" s="17" t="s">
        <v>435</v>
      </c>
      <c r="H292" s="18">
        <v>0</v>
      </c>
      <c r="I292" s="18">
        <v>0</v>
      </c>
      <c r="J292" s="18">
        <v>0</v>
      </c>
    </row>
    <row r="293" spans="1:10" x14ac:dyDescent="0.25">
      <c r="A293" s="17">
        <v>201040214</v>
      </c>
      <c r="B293" s="17" t="s">
        <v>421</v>
      </c>
      <c r="C293" s="17" t="s">
        <v>51</v>
      </c>
      <c r="D293" s="17">
        <v>1</v>
      </c>
      <c r="E293" s="17" t="s">
        <v>51</v>
      </c>
      <c r="F293" s="17">
        <v>8078</v>
      </c>
      <c r="G293" s="17" t="s">
        <v>436</v>
      </c>
      <c r="H293" s="18">
        <v>0</v>
      </c>
      <c r="I293" s="18">
        <v>0</v>
      </c>
      <c r="J293" s="18">
        <v>0</v>
      </c>
    </row>
    <row r="294" spans="1:10" x14ac:dyDescent="0.25">
      <c r="A294" s="17">
        <v>201040214</v>
      </c>
      <c r="B294" s="17" t="s">
        <v>421</v>
      </c>
      <c r="C294" s="17" t="s">
        <v>51</v>
      </c>
      <c r="D294" s="17">
        <v>1</v>
      </c>
      <c r="E294" s="17" t="s">
        <v>51</v>
      </c>
      <c r="F294" s="17">
        <v>8079</v>
      </c>
      <c r="G294" s="17" t="s">
        <v>435</v>
      </c>
      <c r="H294" s="18">
        <v>0</v>
      </c>
      <c r="I294" s="18">
        <v>0</v>
      </c>
      <c r="J294" s="18">
        <v>0</v>
      </c>
    </row>
    <row r="295" spans="1:10" x14ac:dyDescent="0.25">
      <c r="A295" s="17">
        <v>201040214</v>
      </c>
      <c r="B295" s="17" t="s">
        <v>421</v>
      </c>
      <c r="C295" s="17" t="s">
        <v>148</v>
      </c>
      <c r="D295" s="17">
        <v>1</v>
      </c>
      <c r="E295" s="17" t="s">
        <v>148</v>
      </c>
      <c r="F295" s="17">
        <v>7969</v>
      </c>
      <c r="G295" s="17" t="s">
        <v>437</v>
      </c>
      <c r="H295" s="18">
        <v>0</v>
      </c>
      <c r="I295" s="18">
        <v>0</v>
      </c>
      <c r="J295" s="18">
        <v>0</v>
      </c>
    </row>
    <row r="296" spans="1:10" x14ac:dyDescent="0.25">
      <c r="A296" s="17">
        <v>201040214</v>
      </c>
      <c r="B296" s="17" t="s">
        <v>421</v>
      </c>
      <c r="C296" s="17" t="s">
        <v>148</v>
      </c>
      <c r="D296" s="17">
        <v>1</v>
      </c>
      <c r="E296" s="17" t="s">
        <v>148</v>
      </c>
      <c r="F296" s="17">
        <v>7970</v>
      </c>
      <c r="G296" s="17" t="s">
        <v>261</v>
      </c>
      <c r="H296" s="18">
        <v>0</v>
      </c>
      <c r="I296" s="18">
        <v>0</v>
      </c>
      <c r="J296" s="18">
        <v>0</v>
      </c>
    </row>
    <row r="297" spans="1:10" x14ac:dyDescent="0.25">
      <c r="A297" s="17">
        <v>201040214</v>
      </c>
      <c r="B297" s="17" t="s">
        <v>421</v>
      </c>
      <c r="C297" s="17" t="s">
        <v>98</v>
      </c>
      <c r="D297" s="17">
        <v>1</v>
      </c>
      <c r="E297" s="17" t="s">
        <v>98</v>
      </c>
      <c r="F297" s="17">
        <v>8058</v>
      </c>
      <c r="G297" s="17" t="s">
        <v>438</v>
      </c>
      <c r="H297" s="18">
        <v>0</v>
      </c>
      <c r="I297" s="18">
        <v>0</v>
      </c>
      <c r="J297" s="18">
        <v>0</v>
      </c>
    </row>
    <row r="298" spans="1:10" x14ac:dyDescent="0.25">
      <c r="A298" s="17">
        <v>201040214</v>
      </c>
      <c r="B298" s="17" t="s">
        <v>421</v>
      </c>
      <c r="C298" s="17" t="s">
        <v>55</v>
      </c>
      <c r="D298" s="17">
        <v>1</v>
      </c>
      <c r="E298" s="17" t="s">
        <v>55</v>
      </c>
      <c r="F298" s="17">
        <v>8023</v>
      </c>
      <c r="G298" s="17" t="s">
        <v>439</v>
      </c>
      <c r="H298" s="18">
        <v>0</v>
      </c>
      <c r="I298" s="18">
        <v>0</v>
      </c>
      <c r="J298" s="18">
        <v>0</v>
      </c>
    </row>
    <row r="299" spans="1:10" x14ac:dyDescent="0.25">
      <c r="A299" s="17">
        <v>201040214</v>
      </c>
      <c r="B299" s="17" t="s">
        <v>421</v>
      </c>
      <c r="C299" s="17" t="s">
        <v>55</v>
      </c>
      <c r="D299" s="17">
        <v>1</v>
      </c>
      <c r="E299" s="17" t="s">
        <v>55</v>
      </c>
      <c r="F299" s="17">
        <v>8024</v>
      </c>
      <c r="G299" s="17" t="s">
        <v>440</v>
      </c>
      <c r="H299" s="18">
        <v>0</v>
      </c>
      <c r="I299" s="18">
        <v>0</v>
      </c>
      <c r="J299" s="18">
        <v>0</v>
      </c>
    </row>
    <row r="300" spans="1:10" x14ac:dyDescent="0.25">
      <c r="A300" s="17">
        <v>201040214</v>
      </c>
      <c r="B300" s="17" t="s">
        <v>421</v>
      </c>
      <c r="C300" s="17" t="s">
        <v>99</v>
      </c>
      <c r="D300" s="17">
        <v>1</v>
      </c>
      <c r="E300" s="17" t="s">
        <v>99</v>
      </c>
      <c r="F300" s="17">
        <v>8063</v>
      </c>
      <c r="G300" s="17" t="s">
        <v>441</v>
      </c>
      <c r="H300" s="18">
        <v>0</v>
      </c>
      <c r="I300" s="18">
        <v>0</v>
      </c>
      <c r="J300" s="18">
        <v>0</v>
      </c>
    </row>
    <row r="301" spans="1:10" x14ac:dyDescent="0.25">
      <c r="A301" s="17">
        <v>201040214</v>
      </c>
      <c r="B301" s="17" t="s">
        <v>421</v>
      </c>
      <c r="C301" s="17" t="s">
        <v>102</v>
      </c>
      <c r="D301" s="17" t="str">
        <f t="shared" si="2"/>
        <v>3</v>
      </c>
      <c r="E301" s="17" t="s">
        <v>56</v>
      </c>
      <c r="F301" s="17">
        <v>8087</v>
      </c>
      <c r="G301" s="17" t="s">
        <v>442</v>
      </c>
      <c r="H301" s="18">
        <v>0</v>
      </c>
      <c r="I301" s="18">
        <v>0</v>
      </c>
      <c r="J301" s="18">
        <v>0</v>
      </c>
    </row>
    <row r="302" spans="1:10" x14ac:dyDescent="0.25">
      <c r="A302" s="17">
        <v>201040214</v>
      </c>
      <c r="B302" s="17" t="s">
        <v>421</v>
      </c>
      <c r="C302" s="17" t="s">
        <v>102</v>
      </c>
      <c r="D302" s="17" t="str">
        <f t="shared" si="2"/>
        <v>3</v>
      </c>
      <c r="E302" s="17" t="s">
        <v>56</v>
      </c>
      <c r="F302" s="17">
        <v>8088</v>
      </c>
      <c r="G302" s="17" t="s">
        <v>443</v>
      </c>
      <c r="H302" s="18">
        <v>0</v>
      </c>
      <c r="I302" s="18">
        <v>0</v>
      </c>
      <c r="J302" s="18">
        <v>0</v>
      </c>
    </row>
    <row r="303" spans="1:10" x14ac:dyDescent="0.25">
      <c r="A303" s="17">
        <v>201040214</v>
      </c>
      <c r="B303" s="17" t="s">
        <v>421</v>
      </c>
      <c r="C303" s="17" t="s">
        <v>56</v>
      </c>
      <c r="D303" s="17" t="str">
        <f t="shared" si="2"/>
        <v>2</v>
      </c>
      <c r="E303" s="17" t="s">
        <v>56</v>
      </c>
      <c r="F303" s="17">
        <v>8110</v>
      </c>
      <c r="G303" s="17" t="s">
        <v>212</v>
      </c>
      <c r="H303" s="18">
        <v>0</v>
      </c>
      <c r="I303" s="18">
        <v>0</v>
      </c>
      <c r="J303" s="18">
        <v>0</v>
      </c>
    </row>
    <row r="304" spans="1:10" x14ac:dyDescent="0.25">
      <c r="A304" s="17">
        <v>201040214</v>
      </c>
      <c r="B304" s="17" t="s">
        <v>421</v>
      </c>
      <c r="C304" s="17" t="s">
        <v>56</v>
      </c>
      <c r="D304" s="17" t="str">
        <f t="shared" si="2"/>
        <v>2</v>
      </c>
      <c r="E304" s="17" t="s">
        <v>56</v>
      </c>
      <c r="F304" s="17">
        <v>8117</v>
      </c>
      <c r="G304" s="17" t="s">
        <v>200</v>
      </c>
      <c r="H304" s="18">
        <v>0</v>
      </c>
      <c r="I304" s="18">
        <v>0</v>
      </c>
      <c r="J304" s="18">
        <v>0</v>
      </c>
    </row>
    <row r="305" spans="1:10" x14ac:dyDescent="0.25">
      <c r="A305" s="17">
        <v>201040214</v>
      </c>
      <c r="B305" s="17" t="s">
        <v>421</v>
      </c>
      <c r="C305" s="17" t="s">
        <v>102</v>
      </c>
      <c r="D305" s="17" t="str">
        <f t="shared" si="2"/>
        <v>3</v>
      </c>
      <c r="E305" s="17" t="s">
        <v>56</v>
      </c>
      <c r="F305" s="17">
        <v>8118</v>
      </c>
      <c r="G305" s="17" t="s">
        <v>444</v>
      </c>
      <c r="H305" s="18">
        <v>0</v>
      </c>
      <c r="I305" s="18">
        <v>0</v>
      </c>
      <c r="J305" s="18">
        <v>0</v>
      </c>
    </row>
    <row r="306" spans="1:10" x14ac:dyDescent="0.25">
      <c r="A306" s="17">
        <v>201040214</v>
      </c>
      <c r="B306" s="17" t="s">
        <v>421</v>
      </c>
      <c r="C306" s="17" t="s">
        <v>57</v>
      </c>
      <c r="D306" s="17" t="str">
        <f t="shared" si="2"/>
        <v>2</v>
      </c>
      <c r="E306" s="17" t="s">
        <v>57</v>
      </c>
      <c r="F306" s="17">
        <v>8090</v>
      </c>
      <c r="G306" s="17" t="s">
        <v>445</v>
      </c>
      <c r="H306" s="18">
        <v>0</v>
      </c>
      <c r="I306" s="18">
        <v>0</v>
      </c>
      <c r="J306" s="18">
        <v>0</v>
      </c>
    </row>
    <row r="307" spans="1:10" x14ac:dyDescent="0.25">
      <c r="A307" s="17">
        <v>201040214</v>
      </c>
      <c r="B307" s="17" t="s">
        <v>421</v>
      </c>
      <c r="C307" s="17" t="s">
        <v>59</v>
      </c>
      <c r="D307" s="17" t="str">
        <f t="shared" si="2"/>
        <v>2</v>
      </c>
      <c r="E307" s="17" t="s">
        <v>59</v>
      </c>
      <c r="F307" s="17">
        <v>8082</v>
      </c>
      <c r="G307" s="17" t="s">
        <v>214</v>
      </c>
      <c r="H307" s="18">
        <v>0</v>
      </c>
      <c r="I307" s="18">
        <v>0</v>
      </c>
      <c r="J307" s="18">
        <v>0</v>
      </c>
    </row>
    <row r="308" spans="1:10" x14ac:dyDescent="0.25">
      <c r="A308" s="17">
        <v>201040214</v>
      </c>
      <c r="B308" s="17" t="s">
        <v>421</v>
      </c>
      <c r="C308" s="17" t="s">
        <v>103</v>
      </c>
      <c r="D308" s="17" t="str">
        <f t="shared" si="2"/>
        <v>3</v>
      </c>
      <c r="E308" s="17" t="s">
        <v>59</v>
      </c>
      <c r="F308" s="17">
        <v>8091</v>
      </c>
      <c r="G308" s="17" t="s">
        <v>446</v>
      </c>
      <c r="H308" s="18">
        <v>0</v>
      </c>
      <c r="I308" s="18">
        <v>0</v>
      </c>
      <c r="J308" s="18">
        <v>0</v>
      </c>
    </row>
    <row r="309" spans="1:10" x14ac:dyDescent="0.25">
      <c r="A309" s="17">
        <v>201040214</v>
      </c>
      <c r="B309" s="17" t="s">
        <v>421</v>
      </c>
      <c r="C309" s="17" t="s">
        <v>60</v>
      </c>
      <c r="D309" s="17" t="str">
        <f t="shared" si="2"/>
        <v>2</v>
      </c>
      <c r="E309" s="17" t="s">
        <v>60</v>
      </c>
      <c r="F309" s="17">
        <v>8109</v>
      </c>
      <c r="G309" s="17" t="s">
        <v>447</v>
      </c>
      <c r="H309" s="18">
        <v>0</v>
      </c>
      <c r="I309" s="18">
        <v>0</v>
      </c>
      <c r="J309" s="18">
        <v>0</v>
      </c>
    </row>
    <row r="310" spans="1:10" x14ac:dyDescent="0.25">
      <c r="A310" s="17">
        <v>201040214</v>
      </c>
      <c r="B310" s="17" t="s">
        <v>421</v>
      </c>
      <c r="C310" s="17" t="s">
        <v>68</v>
      </c>
      <c r="D310" s="17" t="str">
        <f t="shared" si="2"/>
        <v>3</v>
      </c>
      <c r="E310" s="17" t="s">
        <v>60</v>
      </c>
      <c r="F310" s="17">
        <v>8268</v>
      </c>
      <c r="G310" s="17" t="s">
        <v>269</v>
      </c>
      <c r="H310" s="18">
        <v>0</v>
      </c>
      <c r="I310" s="18">
        <v>0</v>
      </c>
      <c r="J310" s="18">
        <v>0</v>
      </c>
    </row>
    <row r="311" spans="1:10" x14ac:dyDescent="0.25">
      <c r="A311" s="17">
        <v>201040214</v>
      </c>
      <c r="B311" s="17" t="s">
        <v>421</v>
      </c>
      <c r="C311" s="17" t="s">
        <v>61</v>
      </c>
      <c r="D311" s="17" t="str">
        <f t="shared" si="2"/>
        <v>2</v>
      </c>
      <c r="E311" s="17" t="s">
        <v>61</v>
      </c>
      <c r="F311" s="17">
        <v>8247</v>
      </c>
      <c r="G311" s="17" t="s">
        <v>448</v>
      </c>
      <c r="H311" s="18">
        <v>0</v>
      </c>
      <c r="I311" s="18">
        <v>0</v>
      </c>
      <c r="J311" s="18">
        <v>0</v>
      </c>
    </row>
    <row r="312" spans="1:10" x14ac:dyDescent="0.25">
      <c r="A312" s="17">
        <v>201040214</v>
      </c>
      <c r="B312" s="17" t="s">
        <v>421</v>
      </c>
      <c r="C312" s="17" t="s">
        <v>62</v>
      </c>
      <c r="D312" s="17" t="str">
        <f t="shared" si="2"/>
        <v>2</v>
      </c>
      <c r="E312" s="17" t="s">
        <v>62</v>
      </c>
      <c r="F312" s="17">
        <v>8115</v>
      </c>
      <c r="G312" s="17" t="s">
        <v>273</v>
      </c>
      <c r="H312" s="18">
        <v>0</v>
      </c>
      <c r="I312" s="18">
        <v>0</v>
      </c>
      <c r="J312" s="18">
        <v>0</v>
      </c>
    </row>
    <row r="313" spans="1:10" x14ac:dyDescent="0.25">
      <c r="A313" s="17">
        <v>201040214</v>
      </c>
      <c r="B313" s="17" t="s">
        <v>421</v>
      </c>
      <c r="C313" s="17" t="s">
        <v>62</v>
      </c>
      <c r="D313" s="17" t="str">
        <f t="shared" si="2"/>
        <v>2</v>
      </c>
      <c r="E313" s="17" t="s">
        <v>62</v>
      </c>
      <c r="F313" s="17">
        <v>8246</v>
      </c>
      <c r="G313" s="17" t="s">
        <v>449</v>
      </c>
      <c r="H313" s="18">
        <v>0</v>
      </c>
      <c r="I313" s="18">
        <v>0</v>
      </c>
      <c r="J313" s="18">
        <v>0</v>
      </c>
    </row>
    <row r="314" spans="1:10" x14ac:dyDescent="0.25">
      <c r="A314" s="17">
        <v>201040214</v>
      </c>
      <c r="B314" s="17" t="s">
        <v>421</v>
      </c>
      <c r="C314" s="17" t="s">
        <v>63</v>
      </c>
      <c r="D314" s="17" t="str">
        <f t="shared" si="2"/>
        <v>3</v>
      </c>
      <c r="E314" s="17" t="s">
        <v>64</v>
      </c>
      <c r="F314" s="17">
        <v>8112</v>
      </c>
      <c r="G314" s="17" t="s">
        <v>450</v>
      </c>
      <c r="H314" s="18">
        <v>0</v>
      </c>
      <c r="I314" s="18">
        <v>0</v>
      </c>
      <c r="J314" s="18">
        <v>0</v>
      </c>
    </row>
    <row r="315" spans="1:10" x14ac:dyDescent="0.25">
      <c r="A315" s="17">
        <v>201040214</v>
      </c>
      <c r="B315" s="17" t="s">
        <v>421</v>
      </c>
      <c r="C315" s="17" t="s">
        <v>64</v>
      </c>
      <c r="D315" s="17" t="str">
        <f t="shared" si="2"/>
        <v>2</v>
      </c>
      <c r="E315" s="17" t="s">
        <v>64</v>
      </c>
      <c r="F315" s="17">
        <v>8242</v>
      </c>
      <c r="G315" s="17" t="s">
        <v>451</v>
      </c>
      <c r="H315" s="18">
        <v>0</v>
      </c>
      <c r="I315" s="18">
        <v>0</v>
      </c>
      <c r="J315" s="18">
        <v>0</v>
      </c>
    </row>
    <row r="316" spans="1:10" x14ac:dyDescent="0.25">
      <c r="A316" s="17">
        <v>201040214</v>
      </c>
      <c r="B316" s="17" t="s">
        <v>421</v>
      </c>
      <c r="C316" s="17" t="s">
        <v>100</v>
      </c>
      <c r="D316" s="17" t="str">
        <f t="shared" si="2"/>
        <v>2</v>
      </c>
      <c r="E316" s="17" t="s">
        <v>100</v>
      </c>
      <c r="F316" s="17">
        <v>8120</v>
      </c>
      <c r="G316" s="17" t="s">
        <v>452</v>
      </c>
      <c r="H316" s="18">
        <v>0</v>
      </c>
      <c r="I316" s="18">
        <v>0</v>
      </c>
      <c r="J316" s="18">
        <v>0</v>
      </c>
    </row>
    <row r="317" spans="1:10" x14ac:dyDescent="0.25">
      <c r="A317" s="17">
        <v>201040214</v>
      </c>
      <c r="B317" s="17" t="s">
        <v>421</v>
      </c>
      <c r="C317" s="17" t="s">
        <v>100</v>
      </c>
      <c r="D317" s="17" t="str">
        <f t="shared" si="2"/>
        <v>2</v>
      </c>
      <c r="E317" s="17" t="s">
        <v>100</v>
      </c>
      <c r="F317" s="17">
        <v>8121</v>
      </c>
      <c r="G317" s="17" t="s">
        <v>452</v>
      </c>
      <c r="H317" s="18">
        <v>0</v>
      </c>
      <c r="I317" s="18">
        <v>0</v>
      </c>
      <c r="J317" s="18">
        <v>0</v>
      </c>
    </row>
    <row r="318" spans="1:10" x14ac:dyDescent="0.25">
      <c r="A318" s="17">
        <v>201040214</v>
      </c>
      <c r="B318" s="17" t="s">
        <v>421</v>
      </c>
      <c r="C318" s="17" t="s">
        <v>100</v>
      </c>
      <c r="D318" s="17" t="str">
        <f t="shared" si="2"/>
        <v>2</v>
      </c>
      <c r="E318" s="17" t="s">
        <v>100</v>
      </c>
      <c r="F318" s="17">
        <v>8122</v>
      </c>
      <c r="G318" s="17" t="s">
        <v>453</v>
      </c>
      <c r="H318" s="18">
        <v>0</v>
      </c>
      <c r="I318" s="18">
        <v>0</v>
      </c>
      <c r="J318" s="18">
        <v>0</v>
      </c>
    </row>
    <row r="319" spans="1:10" x14ac:dyDescent="0.25">
      <c r="A319" s="17">
        <v>201040214</v>
      </c>
      <c r="B319" s="17" t="s">
        <v>421</v>
      </c>
      <c r="C319" s="17" t="s">
        <v>100</v>
      </c>
      <c r="D319" s="17" t="str">
        <f t="shared" si="2"/>
        <v>2</v>
      </c>
      <c r="E319" s="17" t="s">
        <v>100</v>
      </c>
      <c r="F319" s="17">
        <v>8123</v>
      </c>
      <c r="G319" s="17" t="s">
        <v>453</v>
      </c>
      <c r="H319" s="18">
        <v>0</v>
      </c>
      <c r="I319" s="18">
        <v>0</v>
      </c>
      <c r="J319" s="18">
        <v>0</v>
      </c>
    </row>
    <row r="320" spans="1:10" x14ac:dyDescent="0.25">
      <c r="A320" s="17">
        <v>201040214</v>
      </c>
      <c r="B320" s="17" t="s">
        <v>421</v>
      </c>
      <c r="C320" s="17" t="s">
        <v>100</v>
      </c>
      <c r="D320" s="17" t="str">
        <f t="shared" si="2"/>
        <v>2</v>
      </c>
      <c r="E320" s="17" t="s">
        <v>100</v>
      </c>
      <c r="F320" s="17">
        <v>8124</v>
      </c>
      <c r="G320" s="17" t="s">
        <v>452</v>
      </c>
      <c r="H320" s="18">
        <v>0</v>
      </c>
      <c r="I320" s="18">
        <v>0</v>
      </c>
      <c r="J320" s="18">
        <v>0</v>
      </c>
    </row>
    <row r="321" spans="1:10" x14ac:dyDescent="0.25">
      <c r="A321" s="17">
        <v>201040214</v>
      </c>
      <c r="B321" s="17" t="s">
        <v>421</v>
      </c>
      <c r="C321" s="17" t="s">
        <v>100</v>
      </c>
      <c r="D321" s="17" t="str">
        <f t="shared" si="2"/>
        <v>2</v>
      </c>
      <c r="E321" s="17" t="s">
        <v>100</v>
      </c>
      <c r="F321" s="17">
        <v>8248</v>
      </c>
      <c r="G321" s="17" t="s">
        <v>454</v>
      </c>
      <c r="H321" s="18">
        <v>0</v>
      </c>
      <c r="I321" s="18">
        <v>0</v>
      </c>
      <c r="J321" s="18">
        <v>0</v>
      </c>
    </row>
    <row r="322" spans="1:10" x14ac:dyDescent="0.25">
      <c r="A322" s="17">
        <v>201040214</v>
      </c>
      <c r="B322" s="17" t="s">
        <v>421</v>
      </c>
      <c r="C322" s="17" t="s">
        <v>52</v>
      </c>
      <c r="D322" s="17" t="str">
        <f t="shared" si="2"/>
        <v>2</v>
      </c>
      <c r="E322" s="17" t="s">
        <v>65</v>
      </c>
      <c r="F322" s="17">
        <v>8245</v>
      </c>
      <c r="G322" s="17" t="s">
        <v>455</v>
      </c>
      <c r="H322" s="18">
        <v>0</v>
      </c>
      <c r="I322" s="18">
        <v>0</v>
      </c>
      <c r="J322" s="18">
        <v>0</v>
      </c>
    </row>
    <row r="323" spans="1:10" x14ac:dyDescent="0.25">
      <c r="A323" s="17">
        <v>201040214</v>
      </c>
      <c r="B323" s="17" t="s">
        <v>421</v>
      </c>
      <c r="C323" s="17" t="s">
        <v>69</v>
      </c>
      <c r="D323" s="17" t="str">
        <f t="shared" si="2"/>
        <v>3</v>
      </c>
      <c r="E323" s="17" t="s">
        <v>52</v>
      </c>
      <c r="F323" s="17">
        <v>8126</v>
      </c>
      <c r="G323" s="17" t="s">
        <v>456</v>
      </c>
      <c r="H323" s="18">
        <v>0</v>
      </c>
      <c r="I323" s="18">
        <v>0</v>
      </c>
      <c r="J323" s="18">
        <v>0</v>
      </c>
    </row>
    <row r="324" spans="1:10" x14ac:dyDescent="0.25">
      <c r="A324" s="17">
        <v>201040214</v>
      </c>
      <c r="B324" s="17" t="s">
        <v>421</v>
      </c>
      <c r="C324" s="17" t="s">
        <v>52</v>
      </c>
      <c r="D324" s="17" t="str">
        <f t="shared" si="2"/>
        <v>2</v>
      </c>
      <c r="E324" s="17" t="s">
        <v>52</v>
      </c>
      <c r="F324" s="17">
        <v>8244</v>
      </c>
      <c r="G324" s="17" t="s">
        <v>457</v>
      </c>
      <c r="H324" s="18">
        <v>0</v>
      </c>
      <c r="I324" s="18">
        <v>0</v>
      </c>
      <c r="J324" s="18">
        <v>0</v>
      </c>
    </row>
    <row r="325" spans="1:10" x14ac:dyDescent="0.25">
      <c r="A325" s="17">
        <v>201040214</v>
      </c>
      <c r="B325" s="17" t="s">
        <v>421</v>
      </c>
      <c r="C325" s="17" t="s">
        <v>70</v>
      </c>
      <c r="D325" s="17" t="str">
        <f t="shared" si="2"/>
        <v>3</v>
      </c>
      <c r="E325" s="17" t="s">
        <v>151</v>
      </c>
      <c r="F325" s="17">
        <v>8128</v>
      </c>
      <c r="G325" s="17" t="s">
        <v>458</v>
      </c>
      <c r="H325" s="18">
        <v>0</v>
      </c>
      <c r="I325" s="18">
        <v>0</v>
      </c>
      <c r="J325" s="18">
        <v>0</v>
      </c>
    </row>
    <row r="326" spans="1:10" x14ac:dyDescent="0.25">
      <c r="A326" s="17">
        <v>201040214</v>
      </c>
      <c r="B326" s="17" t="s">
        <v>421</v>
      </c>
      <c r="C326" s="17" t="s">
        <v>151</v>
      </c>
      <c r="D326" s="17" t="str">
        <f t="shared" si="2"/>
        <v>2</v>
      </c>
      <c r="E326" s="17" t="s">
        <v>151</v>
      </c>
      <c r="F326" s="17">
        <v>8243</v>
      </c>
      <c r="G326" s="17" t="s">
        <v>459</v>
      </c>
      <c r="H326" s="18">
        <v>0</v>
      </c>
      <c r="I326" s="18">
        <v>0</v>
      </c>
      <c r="J326" s="18">
        <v>0</v>
      </c>
    </row>
    <row r="327" spans="1:10" x14ac:dyDescent="0.25">
      <c r="A327" s="17">
        <v>201040214</v>
      </c>
      <c r="B327" s="17" t="s">
        <v>421</v>
      </c>
      <c r="C327" s="17" t="s">
        <v>66</v>
      </c>
      <c r="D327" s="17" t="str">
        <f t="shared" si="2"/>
        <v>2</v>
      </c>
      <c r="E327" s="17" t="s">
        <v>66</v>
      </c>
      <c r="F327" s="17">
        <v>8253</v>
      </c>
      <c r="G327" s="17" t="s">
        <v>460</v>
      </c>
      <c r="H327" s="18">
        <v>0</v>
      </c>
      <c r="I327" s="18">
        <v>0</v>
      </c>
      <c r="J327" s="18">
        <v>0</v>
      </c>
    </row>
    <row r="328" spans="1:10" x14ac:dyDescent="0.25">
      <c r="A328" s="17">
        <v>201040214</v>
      </c>
      <c r="B328" s="17" t="s">
        <v>421</v>
      </c>
      <c r="C328" s="17" t="s">
        <v>66</v>
      </c>
      <c r="D328" s="17" t="str">
        <f t="shared" si="2"/>
        <v>2</v>
      </c>
      <c r="E328" s="17" t="s">
        <v>66</v>
      </c>
      <c r="F328" s="17">
        <v>8254</v>
      </c>
      <c r="G328" s="17" t="s">
        <v>461</v>
      </c>
      <c r="H328" s="18">
        <v>0</v>
      </c>
      <c r="I328" s="18">
        <v>0</v>
      </c>
      <c r="J328" s="18">
        <v>0</v>
      </c>
    </row>
    <row r="329" spans="1:10" x14ac:dyDescent="0.25">
      <c r="A329" s="17">
        <v>201040214</v>
      </c>
      <c r="B329" s="17" t="s">
        <v>421</v>
      </c>
      <c r="C329" s="17" t="s">
        <v>66</v>
      </c>
      <c r="D329" s="17" t="str">
        <f t="shared" si="2"/>
        <v>2</v>
      </c>
      <c r="E329" s="17" t="s">
        <v>66</v>
      </c>
      <c r="F329" s="17">
        <v>8255</v>
      </c>
      <c r="G329" s="17" t="s">
        <v>462</v>
      </c>
      <c r="H329" s="18">
        <v>0</v>
      </c>
      <c r="I329" s="18">
        <v>0</v>
      </c>
      <c r="J329" s="18">
        <v>0</v>
      </c>
    </row>
    <row r="330" spans="1:10" x14ac:dyDescent="0.25">
      <c r="A330" s="17">
        <v>201040214</v>
      </c>
      <c r="B330" s="17" t="s">
        <v>421</v>
      </c>
      <c r="C330" s="17" t="s">
        <v>66</v>
      </c>
      <c r="D330" s="17" t="str">
        <f t="shared" ref="D330:D393" si="3">+MID(C330,5,1)</f>
        <v>2</v>
      </c>
      <c r="E330" s="17" t="s">
        <v>66</v>
      </c>
      <c r="F330" s="17">
        <v>8256</v>
      </c>
      <c r="G330" s="17" t="s">
        <v>463</v>
      </c>
      <c r="H330" s="18">
        <v>0</v>
      </c>
      <c r="I330" s="18">
        <v>0</v>
      </c>
      <c r="J330" s="18">
        <v>0</v>
      </c>
    </row>
    <row r="331" spans="1:10" x14ac:dyDescent="0.25">
      <c r="A331" s="17">
        <v>201040214</v>
      </c>
      <c r="B331" s="17" t="s">
        <v>421</v>
      </c>
      <c r="C331" s="17" t="s">
        <v>66</v>
      </c>
      <c r="D331" s="17" t="str">
        <f t="shared" si="3"/>
        <v>2</v>
      </c>
      <c r="E331" s="17" t="s">
        <v>66</v>
      </c>
      <c r="F331" s="17">
        <v>8257</v>
      </c>
      <c r="G331" s="17" t="s">
        <v>464</v>
      </c>
      <c r="H331" s="18">
        <v>0</v>
      </c>
      <c r="I331" s="18">
        <v>0</v>
      </c>
      <c r="J331" s="18">
        <v>0</v>
      </c>
    </row>
    <row r="332" spans="1:10" x14ac:dyDescent="0.25">
      <c r="A332" s="17">
        <v>201040214</v>
      </c>
      <c r="B332" s="17" t="s">
        <v>421</v>
      </c>
      <c r="C332" s="17" t="s">
        <v>152</v>
      </c>
      <c r="D332" s="17" t="str">
        <f t="shared" si="3"/>
        <v>2</v>
      </c>
      <c r="E332" s="17" t="s">
        <v>152</v>
      </c>
      <c r="F332" s="17">
        <v>8251</v>
      </c>
      <c r="G332" s="17" t="s">
        <v>465</v>
      </c>
      <c r="H332" s="18">
        <v>0</v>
      </c>
      <c r="I332" s="18">
        <v>0</v>
      </c>
      <c r="J332" s="18">
        <v>0</v>
      </c>
    </row>
    <row r="333" spans="1:10" x14ac:dyDescent="0.25">
      <c r="A333" s="17">
        <v>201040214</v>
      </c>
      <c r="B333" s="17" t="s">
        <v>421</v>
      </c>
      <c r="C333" s="17" t="s">
        <v>152</v>
      </c>
      <c r="D333" s="17" t="str">
        <f t="shared" si="3"/>
        <v>2</v>
      </c>
      <c r="E333" s="17" t="s">
        <v>152</v>
      </c>
      <c r="F333" s="17">
        <v>8252</v>
      </c>
      <c r="G333" s="17" t="s">
        <v>466</v>
      </c>
      <c r="H333" s="18">
        <v>0</v>
      </c>
      <c r="I333" s="18">
        <v>0</v>
      </c>
      <c r="J333" s="18">
        <v>0</v>
      </c>
    </row>
    <row r="334" spans="1:10" x14ac:dyDescent="0.25">
      <c r="A334" s="17">
        <v>201040214</v>
      </c>
      <c r="B334" s="17" t="s">
        <v>421</v>
      </c>
      <c r="C334" s="17" t="s">
        <v>152</v>
      </c>
      <c r="D334" s="17" t="str">
        <f t="shared" si="3"/>
        <v>2</v>
      </c>
      <c r="E334" s="17" t="s">
        <v>152</v>
      </c>
      <c r="F334" s="17">
        <v>8262</v>
      </c>
      <c r="G334" s="17" t="s">
        <v>274</v>
      </c>
      <c r="H334" s="18">
        <v>0</v>
      </c>
      <c r="I334" s="18">
        <v>0</v>
      </c>
      <c r="J334" s="18">
        <v>0</v>
      </c>
    </row>
    <row r="335" spans="1:10" x14ac:dyDescent="0.25">
      <c r="A335" s="17">
        <v>201040214</v>
      </c>
      <c r="B335" s="17" t="s">
        <v>421</v>
      </c>
      <c r="C335" s="17" t="s">
        <v>467</v>
      </c>
      <c r="D335" s="17" t="str">
        <f t="shared" si="3"/>
        <v>2</v>
      </c>
      <c r="E335" s="17" t="s">
        <v>468</v>
      </c>
      <c r="F335" s="17">
        <v>8249</v>
      </c>
      <c r="G335" s="17" t="s">
        <v>469</v>
      </c>
      <c r="H335" s="18">
        <v>0</v>
      </c>
      <c r="I335" s="18">
        <v>0</v>
      </c>
      <c r="J335" s="18">
        <v>0</v>
      </c>
    </row>
    <row r="336" spans="1:10" x14ac:dyDescent="0.25">
      <c r="A336" s="17">
        <v>201040214</v>
      </c>
      <c r="B336" s="17" t="s">
        <v>421</v>
      </c>
      <c r="C336" s="17" t="s">
        <v>467</v>
      </c>
      <c r="D336" s="17" t="str">
        <f t="shared" si="3"/>
        <v>2</v>
      </c>
      <c r="E336" s="17" t="s">
        <v>468</v>
      </c>
      <c r="F336" s="17">
        <v>8250</v>
      </c>
      <c r="G336" s="17" t="s">
        <v>470</v>
      </c>
      <c r="H336" s="18">
        <v>0</v>
      </c>
      <c r="I336" s="18">
        <v>0</v>
      </c>
      <c r="J336" s="18">
        <v>0</v>
      </c>
    </row>
    <row r="337" spans="1:10" x14ac:dyDescent="0.25">
      <c r="A337" s="17">
        <v>201040214</v>
      </c>
      <c r="B337" s="17" t="s">
        <v>421</v>
      </c>
      <c r="C337" s="17" t="s">
        <v>106</v>
      </c>
      <c r="D337" s="17" t="str">
        <f t="shared" si="3"/>
        <v>3</v>
      </c>
      <c r="E337" s="17" t="s">
        <v>467</v>
      </c>
      <c r="F337" s="17">
        <v>8259</v>
      </c>
      <c r="G337" s="17" t="s">
        <v>471</v>
      </c>
      <c r="H337" s="18">
        <v>0</v>
      </c>
      <c r="I337" s="18">
        <v>0</v>
      </c>
      <c r="J337" s="18">
        <v>0</v>
      </c>
    </row>
    <row r="338" spans="1:10" x14ac:dyDescent="0.25">
      <c r="A338" s="17">
        <v>201040214</v>
      </c>
      <c r="B338" s="17" t="s">
        <v>421</v>
      </c>
      <c r="C338" s="17" t="s">
        <v>467</v>
      </c>
      <c r="D338" s="17" t="str">
        <f t="shared" si="3"/>
        <v>2</v>
      </c>
      <c r="E338" s="17" t="s">
        <v>467</v>
      </c>
      <c r="F338" s="17">
        <v>8260</v>
      </c>
      <c r="G338" s="17" t="s">
        <v>472</v>
      </c>
      <c r="H338" s="18">
        <v>0</v>
      </c>
      <c r="I338" s="18">
        <v>0</v>
      </c>
      <c r="J338" s="18">
        <v>0</v>
      </c>
    </row>
    <row r="339" spans="1:10" x14ac:dyDescent="0.25">
      <c r="A339" s="17">
        <v>201040214</v>
      </c>
      <c r="B339" s="17" t="s">
        <v>421</v>
      </c>
      <c r="C339" s="17" t="s">
        <v>467</v>
      </c>
      <c r="D339" s="17" t="str">
        <f t="shared" si="3"/>
        <v>2</v>
      </c>
      <c r="E339" s="17" t="s">
        <v>467</v>
      </c>
      <c r="F339" s="17">
        <v>8261</v>
      </c>
      <c r="G339" s="17" t="s">
        <v>473</v>
      </c>
      <c r="H339" s="18">
        <v>0</v>
      </c>
      <c r="I339" s="18">
        <v>0</v>
      </c>
      <c r="J339" s="18">
        <v>0</v>
      </c>
    </row>
    <row r="340" spans="1:10" x14ac:dyDescent="0.25">
      <c r="A340" s="17">
        <v>201040214</v>
      </c>
      <c r="B340" s="17" t="s">
        <v>421</v>
      </c>
      <c r="C340" s="17" t="s">
        <v>467</v>
      </c>
      <c r="D340" s="17" t="str">
        <f t="shared" si="3"/>
        <v>2</v>
      </c>
      <c r="E340" s="17" t="s">
        <v>467</v>
      </c>
      <c r="F340" s="17">
        <v>8263</v>
      </c>
      <c r="G340" s="17" t="s">
        <v>474</v>
      </c>
      <c r="H340" s="18">
        <v>0</v>
      </c>
      <c r="I340" s="18">
        <v>0</v>
      </c>
      <c r="J340" s="18">
        <v>0</v>
      </c>
    </row>
    <row r="341" spans="1:10" x14ac:dyDescent="0.25">
      <c r="A341" s="17">
        <v>201040214</v>
      </c>
      <c r="B341" s="17" t="s">
        <v>421</v>
      </c>
      <c r="C341" s="17" t="s">
        <v>101</v>
      </c>
      <c r="D341" s="17" t="str">
        <f t="shared" si="3"/>
        <v>4</v>
      </c>
      <c r="E341" s="17" t="s">
        <v>128</v>
      </c>
      <c r="F341" s="17">
        <v>8287</v>
      </c>
      <c r="G341" s="17" t="s">
        <v>475</v>
      </c>
      <c r="H341" s="18">
        <v>0</v>
      </c>
      <c r="I341" s="18">
        <v>0</v>
      </c>
      <c r="J341" s="18">
        <v>0</v>
      </c>
    </row>
    <row r="342" spans="1:10" x14ac:dyDescent="0.25">
      <c r="A342" s="17">
        <v>201040214</v>
      </c>
      <c r="B342" s="17" t="s">
        <v>421</v>
      </c>
      <c r="C342" s="17" t="s">
        <v>128</v>
      </c>
      <c r="D342" s="17" t="str">
        <f t="shared" si="3"/>
        <v>3</v>
      </c>
      <c r="E342" s="17" t="s">
        <v>128</v>
      </c>
      <c r="F342" s="17">
        <v>8315</v>
      </c>
      <c r="G342" s="17" t="s">
        <v>476</v>
      </c>
      <c r="H342" s="18">
        <v>0</v>
      </c>
      <c r="I342" s="18">
        <v>0</v>
      </c>
      <c r="J342" s="18">
        <v>0</v>
      </c>
    </row>
    <row r="343" spans="1:10" x14ac:dyDescent="0.25">
      <c r="A343" s="17">
        <v>201040214</v>
      </c>
      <c r="B343" s="17" t="s">
        <v>421</v>
      </c>
      <c r="C343" s="17" t="s">
        <v>101</v>
      </c>
      <c r="D343" s="17" t="str">
        <f t="shared" si="3"/>
        <v>4</v>
      </c>
      <c r="E343" s="17" t="s">
        <v>153</v>
      </c>
      <c r="F343" s="17">
        <v>8350</v>
      </c>
      <c r="G343" s="17" t="s">
        <v>477</v>
      </c>
      <c r="H343" s="18">
        <v>0</v>
      </c>
      <c r="I343" s="18">
        <v>0</v>
      </c>
      <c r="J343" s="18">
        <v>0</v>
      </c>
    </row>
    <row r="344" spans="1:10" x14ac:dyDescent="0.25">
      <c r="A344" s="17">
        <v>201040214</v>
      </c>
      <c r="B344" s="17" t="s">
        <v>421</v>
      </c>
      <c r="C344" s="17" t="s">
        <v>67</v>
      </c>
      <c r="D344" s="17" t="str">
        <f t="shared" si="3"/>
        <v>3</v>
      </c>
      <c r="E344" s="17" t="s">
        <v>67</v>
      </c>
      <c r="F344" s="17">
        <v>8290</v>
      </c>
      <c r="G344" s="17" t="s">
        <v>279</v>
      </c>
      <c r="H344" s="18">
        <v>0</v>
      </c>
      <c r="I344" s="18">
        <v>0</v>
      </c>
      <c r="J344" s="18">
        <v>0</v>
      </c>
    </row>
    <row r="345" spans="1:10" x14ac:dyDescent="0.25">
      <c r="A345" s="17">
        <v>201040214</v>
      </c>
      <c r="B345" s="17" t="s">
        <v>421</v>
      </c>
      <c r="C345" s="17" t="s">
        <v>67</v>
      </c>
      <c r="D345" s="17" t="str">
        <f t="shared" si="3"/>
        <v>3</v>
      </c>
      <c r="E345" s="17" t="s">
        <v>67</v>
      </c>
      <c r="F345" s="17">
        <v>8318</v>
      </c>
      <c r="G345" s="17" t="s">
        <v>478</v>
      </c>
      <c r="H345" s="18">
        <v>0</v>
      </c>
      <c r="I345" s="18">
        <v>0</v>
      </c>
      <c r="J345" s="18">
        <v>0</v>
      </c>
    </row>
    <row r="346" spans="1:10" x14ac:dyDescent="0.25">
      <c r="A346" s="17">
        <v>201040214</v>
      </c>
      <c r="B346" s="17" t="s">
        <v>421</v>
      </c>
      <c r="C346" s="17" t="s">
        <v>67</v>
      </c>
      <c r="D346" s="17" t="str">
        <f t="shared" si="3"/>
        <v>3</v>
      </c>
      <c r="E346" s="17" t="s">
        <v>67</v>
      </c>
      <c r="F346" s="17">
        <v>8319</v>
      </c>
      <c r="G346" s="17" t="s">
        <v>479</v>
      </c>
      <c r="H346" s="18">
        <v>0</v>
      </c>
      <c r="I346" s="18">
        <v>0</v>
      </c>
      <c r="J346" s="18">
        <v>0</v>
      </c>
    </row>
    <row r="347" spans="1:10" x14ac:dyDescent="0.25">
      <c r="A347" s="17">
        <v>201040214</v>
      </c>
      <c r="B347" s="17" t="s">
        <v>421</v>
      </c>
      <c r="C347" s="17" t="s">
        <v>75</v>
      </c>
      <c r="D347" s="17" t="str">
        <f t="shared" si="3"/>
        <v>4</v>
      </c>
      <c r="E347" s="17" t="s">
        <v>68</v>
      </c>
      <c r="F347" s="17">
        <v>8320</v>
      </c>
      <c r="G347" s="17" t="s">
        <v>480</v>
      </c>
      <c r="H347" s="18">
        <v>0</v>
      </c>
      <c r="I347" s="18">
        <v>0</v>
      </c>
      <c r="J347" s="18">
        <v>0</v>
      </c>
    </row>
    <row r="348" spans="1:10" x14ac:dyDescent="0.25">
      <c r="A348" s="17">
        <v>201040214</v>
      </c>
      <c r="B348" s="17" t="s">
        <v>421</v>
      </c>
      <c r="C348" s="17" t="s">
        <v>105</v>
      </c>
      <c r="D348" s="17" t="str">
        <f t="shared" si="3"/>
        <v>3</v>
      </c>
      <c r="E348" s="17" t="s">
        <v>105</v>
      </c>
      <c r="F348" s="17">
        <v>8316</v>
      </c>
      <c r="G348" s="17" t="s">
        <v>481</v>
      </c>
      <c r="H348" s="18">
        <v>0</v>
      </c>
      <c r="I348" s="18">
        <v>0</v>
      </c>
      <c r="J348" s="18">
        <v>0</v>
      </c>
    </row>
    <row r="349" spans="1:10" x14ac:dyDescent="0.25">
      <c r="A349" s="17">
        <v>201040214</v>
      </c>
      <c r="B349" s="17" t="s">
        <v>421</v>
      </c>
      <c r="C349" s="17" t="s">
        <v>105</v>
      </c>
      <c r="D349" s="17" t="str">
        <f t="shared" si="3"/>
        <v>3</v>
      </c>
      <c r="E349" s="17" t="s">
        <v>105</v>
      </c>
      <c r="F349" s="17">
        <v>8317</v>
      </c>
      <c r="G349" s="17" t="s">
        <v>482</v>
      </c>
      <c r="H349" s="18">
        <v>0</v>
      </c>
      <c r="I349" s="18">
        <v>0</v>
      </c>
      <c r="J349" s="18">
        <v>0</v>
      </c>
    </row>
    <row r="350" spans="1:10" x14ac:dyDescent="0.25">
      <c r="A350" s="17">
        <v>201040214</v>
      </c>
      <c r="B350" s="17" t="s">
        <v>421</v>
      </c>
      <c r="C350" s="17" t="s">
        <v>105</v>
      </c>
      <c r="D350" s="17" t="str">
        <f t="shared" si="3"/>
        <v>3</v>
      </c>
      <c r="E350" s="17" t="s">
        <v>105</v>
      </c>
      <c r="F350" s="17">
        <v>8334</v>
      </c>
      <c r="G350" s="17" t="s">
        <v>287</v>
      </c>
      <c r="H350" s="18">
        <v>0</v>
      </c>
      <c r="I350" s="18">
        <v>0</v>
      </c>
      <c r="J350" s="18">
        <v>0</v>
      </c>
    </row>
    <row r="351" spans="1:10" x14ac:dyDescent="0.25">
      <c r="A351" s="17">
        <v>201040214</v>
      </c>
      <c r="B351" s="17" t="s">
        <v>421</v>
      </c>
      <c r="C351" s="17" t="s">
        <v>69</v>
      </c>
      <c r="D351" s="17" t="str">
        <f t="shared" si="3"/>
        <v>3</v>
      </c>
      <c r="E351" s="17" t="s">
        <v>69</v>
      </c>
      <c r="F351" s="17">
        <v>8323</v>
      </c>
      <c r="G351" s="17" t="s">
        <v>483</v>
      </c>
      <c r="H351" s="18">
        <v>0</v>
      </c>
      <c r="I351" s="18">
        <v>0</v>
      </c>
      <c r="J351" s="18">
        <v>0</v>
      </c>
    </row>
    <row r="352" spans="1:10" x14ac:dyDescent="0.25">
      <c r="A352" s="17">
        <v>201040214</v>
      </c>
      <c r="B352" s="17" t="s">
        <v>421</v>
      </c>
      <c r="C352" s="17" t="s">
        <v>181</v>
      </c>
      <c r="D352" s="17" t="str">
        <f t="shared" si="3"/>
        <v>3</v>
      </c>
      <c r="E352" s="17" t="s">
        <v>181</v>
      </c>
      <c r="F352" s="17">
        <v>8325</v>
      </c>
      <c r="G352" s="17" t="s">
        <v>216</v>
      </c>
      <c r="H352" s="18">
        <v>0</v>
      </c>
      <c r="I352" s="18">
        <v>0</v>
      </c>
      <c r="J352" s="18">
        <v>0</v>
      </c>
    </row>
    <row r="353" spans="1:10" x14ac:dyDescent="0.25">
      <c r="A353" s="17">
        <v>201040214</v>
      </c>
      <c r="B353" s="17" t="s">
        <v>421</v>
      </c>
      <c r="C353" s="17" t="s">
        <v>181</v>
      </c>
      <c r="D353" s="17" t="str">
        <f t="shared" si="3"/>
        <v>3</v>
      </c>
      <c r="E353" s="17" t="s">
        <v>181</v>
      </c>
      <c r="F353" s="17">
        <v>8326</v>
      </c>
      <c r="G353" s="17" t="s">
        <v>217</v>
      </c>
      <c r="H353" s="18">
        <v>0</v>
      </c>
      <c r="I353" s="18">
        <v>0</v>
      </c>
      <c r="J353" s="18">
        <v>0</v>
      </c>
    </row>
    <row r="354" spans="1:10" x14ac:dyDescent="0.25">
      <c r="A354" s="17">
        <v>201040214</v>
      </c>
      <c r="B354" s="17" t="s">
        <v>421</v>
      </c>
      <c r="C354" s="17" t="s">
        <v>71</v>
      </c>
      <c r="D354" s="17" t="str">
        <f t="shared" si="3"/>
        <v>3</v>
      </c>
      <c r="E354" s="17" t="s">
        <v>71</v>
      </c>
      <c r="F354" s="17">
        <v>8328</v>
      </c>
      <c r="G354" s="17" t="s">
        <v>484</v>
      </c>
      <c r="H354" s="18">
        <v>0</v>
      </c>
      <c r="I354" s="18">
        <v>0</v>
      </c>
      <c r="J354" s="18">
        <v>0</v>
      </c>
    </row>
    <row r="355" spans="1:10" x14ac:dyDescent="0.25">
      <c r="A355" s="17">
        <v>201040214</v>
      </c>
      <c r="B355" s="17" t="s">
        <v>421</v>
      </c>
      <c r="C355" s="17" t="s">
        <v>71</v>
      </c>
      <c r="D355" s="17" t="str">
        <f t="shared" si="3"/>
        <v>3</v>
      </c>
      <c r="E355" s="17" t="s">
        <v>71</v>
      </c>
      <c r="F355" s="17">
        <v>8329</v>
      </c>
      <c r="G355" s="17" t="s">
        <v>485</v>
      </c>
      <c r="H355" s="18">
        <v>0</v>
      </c>
      <c r="I355" s="18">
        <v>0</v>
      </c>
      <c r="J355" s="18">
        <v>0</v>
      </c>
    </row>
    <row r="356" spans="1:10" x14ac:dyDescent="0.25">
      <c r="A356" s="17">
        <v>201040214</v>
      </c>
      <c r="B356" s="17" t="s">
        <v>421</v>
      </c>
      <c r="C356" s="17" t="s">
        <v>71</v>
      </c>
      <c r="D356" s="17" t="str">
        <f t="shared" si="3"/>
        <v>3</v>
      </c>
      <c r="E356" s="17" t="s">
        <v>71</v>
      </c>
      <c r="F356" s="17">
        <v>8330</v>
      </c>
      <c r="G356" s="17" t="s">
        <v>486</v>
      </c>
      <c r="H356" s="18">
        <v>0</v>
      </c>
      <c r="I356" s="18">
        <v>0</v>
      </c>
      <c r="J356" s="18">
        <v>0</v>
      </c>
    </row>
    <row r="357" spans="1:10" x14ac:dyDescent="0.25">
      <c r="A357" s="17">
        <v>201040214</v>
      </c>
      <c r="B357" s="17" t="s">
        <v>421</v>
      </c>
      <c r="C357" s="17" t="s">
        <v>71</v>
      </c>
      <c r="D357" s="17" t="str">
        <f t="shared" si="3"/>
        <v>3</v>
      </c>
      <c r="E357" s="17" t="s">
        <v>71</v>
      </c>
      <c r="F357" s="17">
        <v>8331</v>
      </c>
      <c r="G357" s="17" t="s">
        <v>487</v>
      </c>
      <c r="H357" s="18">
        <v>0</v>
      </c>
      <c r="I357" s="18">
        <v>0</v>
      </c>
      <c r="J357" s="18">
        <v>0</v>
      </c>
    </row>
    <row r="358" spans="1:10" x14ac:dyDescent="0.25">
      <c r="A358" s="17">
        <v>201040214</v>
      </c>
      <c r="B358" s="17" t="s">
        <v>421</v>
      </c>
      <c r="C358" s="17" t="s">
        <v>71</v>
      </c>
      <c r="D358" s="17" t="str">
        <f t="shared" si="3"/>
        <v>3</v>
      </c>
      <c r="E358" s="17" t="s">
        <v>71</v>
      </c>
      <c r="F358" s="17">
        <v>8332</v>
      </c>
      <c r="G358" s="17" t="s">
        <v>488</v>
      </c>
      <c r="H358" s="18">
        <v>0</v>
      </c>
      <c r="I358" s="18">
        <v>0</v>
      </c>
      <c r="J358" s="18">
        <v>0</v>
      </c>
    </row>
    <row r="359" spans="1:10" x14ac:dyDescent="0.25">
      <c r="A359" s="17">
        <v>201040214</v>
      </c>
      <c r="B359" s="17" t="s">
        <v>421</v>
      </c>
      <c r="C359" s="17" t="s">
        <v>71</v>
      </c>
      <c r="D359" s="17" t="str">
        <f t="shared" si="3"/>
        <v>3</v>
      </c>
      <c r="E359" s="17" t="s">
        <v>71</v>
      </c>
      <c r="F359" s="17">
        <v>8333</v>
      </c>
      <c r="G359" s="17" t="s">
        <v>489</v>
      </c>
      <c r="H359" s="18">
        <v>0</v>
      </c>
      <c r="I359" s="18">
        <v>0</v>
      </c>
      <c r="J359" s="18">
        <v>0</v>
      </c>
    </row>
    <row r="360" spans="1:10" x14ac:dyDescent="0.25">
      <c r="A360" s="17">
        <v>201040214</v>
      </c>
      <c r="B360" s="17" t="s">
        <v>421</v>
      </c>
      <c r="C360" s="17" t="s">
        <v>71</v>
      </c>
      <c r="D360" s="17" t="str">
        <f t="shared" si="3"/>
        <v>3</v>
      </c>
      <c r="E360" s="17" t="s">
        <v>71</v>
      </c>
      <c r="F360" s="17">
        <v>8344</v>
      </c>
      <c r="G360" s="17" t="s">
        <v>490</v>
      </c>
      <c r="H360" s="18">
        <v>0</v>
      </c>
      <c r="I360" s="18">
        <v>0</v>
      </c>
      <c r="J360" s="18">
        <v>0</v>
      </c>
    </row>
    <row r="361" spans="1:10" x14ac:dyDescent="0.25">
      <c r="A361" s="17">
        <v>201040214</v>
      </c>
      <c r="B361" s="17" t="s">
        <v>421</v>
      </c>
      <c r="C361" s="17" t="s">
        <v>80</v>
      </c>
      <c r="D361" s="17" t="str">
        <f t="shared" si="3"/>
        <v>5</v>
      </c>
      <c r="E361" s="17" t="s">
        <v>71</v>
      </c>
      <c r="F361" s="17">
        <v>8345</v>
      </c>
      <c r="G361" s="17" t="s">
        <v>491</v>
      </c>
      <c r="H361" s="18">
        <v>0</v>
      </c>
      <c r="I361" s="18">
        <v>0</v>
      </c>
      <c r="J361" s="18">
        <v>0</v>
      </c>
    </row>
    <row r="362" spans="1:10" x14ac:dyDescent="0.25">
      <c r="A362" s="17">
        <v>201040214</v>
      </c>
      <c r="B362" s="17" t="s">
        <v>421</v>
      </c>
      <c r="C362" s="17" t="s">
        <v>80</v>
      </c>
      <c r="D362" s="17" t="str">
        <f t="shared" si="3"/>
        <v>5</v>
      </c>
      <c r="E362" s="17" t="s">
        <v>71</v>
      </c>
      <c r="F362" s="17">
        <v>8346</v>
      </c>
      <c r="G362" s="17" t="s">
        <v>492</v>
      </c>
      <c r="H362" s="18">
        <v>0</v>
      </c>
      <c r="I362" s="18">
        <v>0</v>
      </c>
      <c r="J362" s="18">
        <v>0</v>
      </c>
    </row>
    <row r="363" spans="1:10" x14ac:dyDescent="0.25">
      <c r="A363" s="17">
        <v>201040214</v>
      </c>
      <c r="B363" s="17" t="s">
        <v>421</v>
      </c>
      <c r="C363" s="17" t="s">
        <v>80</v>
      </c>
      <c r="D363" s="17" t="str">
        <f t="shared" si="3"/>
        <v>5</v>
      </c>
      <c r="E363" s="17" t="s">
        <v>71</v>
      </c>
      <c r="F363" s="17">
        <v>8347</v>
      </c>
      <c r="G363" s="17" t="s">
        <v>493</v>
      </c>
      <c r="H363" s="18">
        <v>0</v>
      </c>
      <c r="I363" s="18">
        <v>0</v>
      </c>
      <c r="J363" s="18">
        <v>0</v>
      </c>
    </row>
    <row r="364" spans="1:10" x14ac:dyDescent="0.25">
      <c r="A364" s="17">
        <v>201040214</v>
      </c>
      <c r="B364" s="17" t="s">
        <v>421</v>
      </c>
      <c r="C364" s="17" t="s">
        <v>72</v>
      </c>
      <c r="D364" s="17" t="str">
        <f t="shared" si="3"/>
        <v>4</v>
      </c>
      <c r="E364" s="17" t="s">
        <v>72</v>
      </c>
      <c r="F364" s="17">
        <v>8408</v>
      </c>
      <c r="G364" s="17" t="s">
        <v>290</v>
      </c>
      <c r="H364" s="18">
        <v>0</v>
      </c>
      <c r="I364" s="18">
        <v>0</v>
      </c>
      <c r="J364" s="18">
        <v>0</v>
      </c>
    </row>
    <row r="365" spans="1:10" x14ac:dyDescent="0.25">
      <c r="A365" s="17">
        <v>201040214</v>
      </c>
      <c r="B365" s="17" t="s">
        <v>421</v>
      </c>
      <c r="C365" s="17" t="s">
        <v>72</v>
      </c>
      <c r="D365" s="17" t="str">
        <f t="shared" si="3"/>
        <v>4</v>
      </c>
      <c r="E365" s="17" t="s">
        <v>72</v>
      </c>
      <c r="F365" s="17">
        <v>8409</v>
      </c>
      <c r="G365" s="17" t="s">
        <v>289</v>
      </c>
      <c r="H365" s="18">
        <v>0</v>
      </c>
      <c r="I365" s="18">
        <v>0</v>
      </c>
      <c r="J365" s="18">
        <v>0</v>
      </c>
    </row>
    <row r="366" spans="1:10" x14ac:dyDescent="0.25">
      <c r="A366" s="17">
        <v>201040214</v>
      </c>
      <c r="B366" s="17" t="s">
        <v>421</v>
      </c>
      <c r="C366" s="17" t="s">
        <v>72</v>
      </c>
      <c r="D366" s="17" t="str">
        <f t="shared" si="3"/>
        <v>4</v>
      </c>
      <c r="E366" s="17" t="s">
        <v>72</v>
      </c>
      <c r="F366" s="17">
        <v>8410</v>
      </c>
      <c r="G366" s="17" t="s">
        <v>494</v>
      </c>
      <c r="H366" s="18">
        <v>0</v>
      </c>
      <c r="I366" s="18">
        <v>0</v>
      </c>
      <c r="J366" s="18">
        <v>0</v>
      </c>
    </row>
    <row r="367" spans="1:10" x14ac:dyDescent="0.25">
      <c r="A367" s="17">
        <v>201040214</v>
      </c>
      <c r="B367" s="17" t="s">
        <v>421</v>
      </c>
      <c r="C367" s="17" t="s">
        <v>72</v>
      </c>
      <c r="D367" s="17" t="str">
        <f t="shared" si="3"/>
        <v>4</v>
      </c>
      <c r="E367" s="17" t="s">
        <v>72</v>
      </c>
      <c r="F367" s="17">
        <v>8411</v>
      </c>
      <c r="G367" s="17" t="s">
        <v>290</v>
      </c>
      <c r="H367" s="18">
        <v>0</v>
      </c>
      <c r="I367" s="18">
        <v>0</v>
      </c>
      <c r="J367" s="18">
        <v>0</v>
      </c>
    </row>
    <row r="368" spans="1:10" x14ac:dyDescent="0.25">
      <c r="A368" s="17">
        <v>201040214</v>
      </c>
      <c r="B368" s="17" t="s">
        <v>421</v>
      </c>
      <c r="C368" s="17" t="s">
        <v>80</v>
      </c>
      <c r="D368" s="17" t="str">
        <f t="shared" si="3"/>
        <v>5</v>
      </c>
      <c r="E368" s="17" t="s">
        <v>72</v>
      </c>
      <c r="F368" s="17">
        <v>8412</v>
      </c>
      <c r="G368" s="17" t="s">
        <v>219</v>
      </c>
      <c r="H368" s="18">
        <v>0</v>
      </c>
      <c r="I368" s="18">
        <v>0</v>
      </c>
      <c r="J368" s="18">
        <v>0</v>
      </c>
    </row>
    <row r="369" spans="1:10" x14ac:dyDescent="0.25">
      <c r="A369" s="17">
        <v>201040214</v>
      </c>
      <c r="B369" s="17" t="s">
        <v>421</v>
      </c>
      <c r="C369" s="17" t="s">
        <v>80</v>
      </c>
      <c r="D369" s="17" t="str">
        <f t="shared" si="3"/>
        <v>5</v>
      </c>
      <c r="E369" s="17" t="s">
        <v>72</v>
      </c>
      <c r="F369" s="17">
        <v>8447</v>
      </c>
      <c r="G369" s="17" t="s">
        <v>495</v>
      </c>
      <c r="H369" s="18">
        <v>0</v>
      </c>
      <c r="I369" s="18">
        <v>0</v>
      </c>
      <c r="J369" s="18">
        <v>0</v>
      </c>
    </row>
    <row r="370" spans="1:10" x14ac:dyDescent="0.25">
      <c r="A370" s="17">
        <v>201040214</v>
      </c>
      <c r="B370" s="17" t="s">
        <v>421</v>
      </c>
      <c r="C370" s="17" t="s">
        <v>101</v>
      </c>
      <c r="D370" s="17" t="str">
        <f t="shared" si="3"/>
        <v>4</v>
      </c>
      <c r="E370" s="17" t="s">
        <v>101</v>
      </c>
      <c r="F370" s="17">
        <v>8413</v>
      </c>
      <c r="G370" s="17" t="s">
        <v>221</v>
      </c>
      <c r="H370" s="18">
        <v>0</v>
      </c>
      <c r="I370" s="18">
        <v>0</v>
      </c>
      <c r="J370" s="18">
        <v>0</v>
      </c>
    </row>
    <row r="371" spans="1:10" x14ac:dyDescent="0.25">
      <c r="A371" s="17">
        <v>201040214</v>
      </c>
      <c r="B371" s="17" t="s">
        <v>421</v>
      </c>
      <c r="C371" s="17" t="s">
        <v>101</v>
      </c>
      <c r="D371" s="17" t="str">
        <f t="shared" si="3"/>
        <v>4</v>
      </c>
      <c r="E371" s="17" t="s">
        <v>101</v>
      </c>
      <c r="F371" s="17">
        <v>8415</v>
      </c>
      <c r="G371" s="17" t="s">
        <v>222</v>
      </c>
      <c r="H371" s="18">
        <v>0</v>
      </c>
      <c r="I371" s="18">
        <v>0</v>
      </c>
      <c r="J371" s="18">
        <v>0</v>
      </c>
    </row>
    <row r="372" spans="1:10" x14ac:dyDescent="0.25">
      <c r="A372" s="17">
        <v>201040214</v>
      </c>
      <c r="B372" s="17" t="s">
        <v>421</v>
      </c>
      <c r="C372" s="17" t="s">
        <v>73</v>
      </c>
      <c r="D372" s="17" t="str">
        <f t="shared" si="3"/>
        <v>4</v>
      </c>
      <c r="E372" s="17" t="s">
        <v>73</v>
      </c>
      <c r="F372" s="17">
        <v>8455</v>
      </c>
      <c r="G372" s="17" t="s">
        <v>496</v>
      </c>
      <c r="H372" s="18">
        <v>0</v>
      </c>
      <c r="I372" s="18">
        <v>0</v>
      </c>
      <c r="J372" s="18">
        <v>0</v>
      </c>
    </row>
    <row r="373" spans="1:10" x14ac:dyDescent="0.25">
      <c r="A373" s="17">
        <v>201040214</v>
      </c>
      <c r="B373" s="17" t="s">
        <v>421</v>
      </c>
      <c r="C373" s="17" t="s">
        <v>73</v>
      </c>
      <c r="D373" s="17" t="str">
        <f t="shared" si="3"/>
        <v>4</v>
      </c>
      <c r="E373" s="17" t="s">
        <v>73</v>
      </c>
      <c r="F373" s="17">
        <v>8485</v>
      </c>
      <c r="G373" s="17" t="s">
        <v>497</v>
      </c>
      <c r="H373" s="18">
        <v>0</v>
      </c>
      <c r="I373" s="18">
        <v>0</v>
      </c>
      <c r="J373" s="18">
        <v>0</v>
      </c>
    </row>
    <row r="374" spans="1:10" x14ac:dyDescent="0.25">
      <c r="A374" s="17">
        <v>201040214</v>
      </c>
      <c r="B374" s="17" t="s">
        <v>421</v>
      </c>
      <c r="C374" s="17" t="s">
        <v>84</v>
      </c>
      <c r="D374" s="17" t="str">
        <f t="shared" si="3"/>
        <v>5</v>
      </c>
      <c r="E374" s="17" t="s">
        <v>74</v>
      </c>
      <c r="F374" s="17">
        <v>8421</v>
      </c>
      <c r="G374" s="17" t="s">
        <v>498</v>
      </c>
      <c r="H374" s="18">
        <v>0</v>
      </c>
      <c r="I374" s="18">
        <v>0</v>
      </c>
      <c r="J374" s="18">
        <v>0</v>
      </c>
    </row>
    <row r="375" spans="1:10" x14ac:dyDescent="0.25">
      <c r="A375" s="17">
        <v>201040214</v>
      </c>
      <c r="B375" s="17" t="s">
        <v>421</v>
      </c>
      <c r="C375" s="17" t="s">
        <v>84</v>
      </c>
      <c r="D375" s="17" t="str">
        <f t="shared" si="3"/>
        <v>5</v>
      </c>
      <c r="E375" s="17" t="s">
        <v>74</v>
      </c>
      <c r="F375" s="17">
        <v>8422</v>
      </c>
      <c r="G375" s="17" t="s">
        <v>499</v>
      </c>
      <c r="H375" s="18">
        <v>0</v>
      </c>
      <c r="I375" s="18">
        <v>0</v>
      </c>
      <c r="J375" s="18">
        <v>0</v>
      </c>
    </row>
    <row r="376" spans="1:10" x14ac:dyDescent="0.25">
      <c r="A376" s="17">
        <v>201040214</v>
      </c>
      <c r="B376" s="17" t="s">
        <v>421</v>
      </c>
      <c r="C376" s="17" t="s">
        <v>74</v>
      </c>
      <c r="D376" s="17" t="str">
        <f t="shared" si="3"/>
        <v>4</v>
      </c>
      <c r="E376" s="17" t="s">
        <v>74</v>
      </c>
      <c r="F376" s="17">
        <v>8478</v>
      </c>
      <c r="G376" s="17" t="s">
        <v>294</v>
      </c>
      <c r="H376" s="18">
        <v>0</v>
      </c>
      <c r="I376" s="18">
        <v>0</v>
      </c>
      <c r="J376" s="18">
        <v>0</v>
      </c>
    </row>
    <row r="377" spans="1:10" x14ac:dyDescent="0.25">
      <c r="A377" s="17">
        <v>201040214</v>
      </c>
      <c r="B377" s="17" t="s">
        <v>421</v>
      </c>
      <c r="C377" s="17" t="s">
        <v>75</v>
      </c>
      <c r="D377" s="17" t="str">
        <f t="shared" si="3"/>
        <v>4</v>
      </c>
      <c r="E377" s="17" t="s">
        <v>107</v>
      </c>
      <c r="F377" s="17">
        <v>8481</v>
      </c>
      <c r="G377" s="17" t="s">
        <v>500</v>
      </c>
      <c r="H377" s="18">
        <v>0</v>
      </c>
      <c r="I377" s="18">
        <v>0</v>
      </c>
      <c r="J377" s="18">
        <v>0</v>
      </c>
    </row>
    <row r="378" spans="1:10" x14ac:dyDescent="0.25">
      <c r="A378" s="17">
        <v>201040214</v>
      </c>
      <c r="B378" s="17" t="s">
        <v>421</v>
      </c>
      <c r="C378" s="17" t="s">
        <v>76</v>
      </c>
      <c r="D378" s="17" t="str">
        <f t="shared" si="3"/>
        <v>4</v>
      </c>
      <c r="E378" s="17" t="s">
        <v>76</v>
      </c>
      <c r="F378" s="17">
        <v>8378</v>
      </c>
      <c r="G378" s="17" t="s">
        <v>184</v>
      </c>
      <c r="H378" s="18">
        <v>0</v>
      </c>
      <c r="I378" s="18">
        <v>0</v>
      </c>
      <c r="J378" s="18">
        <v>0</v>
      </c>
    </row>
    <row r="379" spans="1:10" x14ac:dyDescent="0.25">
      <c r="A379" s="17">
        <v>201040214</v>
      </c>
      <c r="B379" s="17" t="s">
        <v>421</v>
      </c>
      <c r="C379" s="17" t="s">
        <v>76</v>
      </c>
      <c r="D379" s="17" t="str">
        <f t="shared" si="3"/>
        <v>4</v>
      </c>
      <c r="E379" s="17" t="s">
        <v>76</v>
      </c>
      <c r="F379" s="17">
        <v>8379</v>
      </c>
      <c r="G379" s="17" t="s">
        <v>185</v>
      </c>
      <c r="H379" s="18">
        <v>0</v>
      </c>
      <c r="I379" s="18">
        <v>0</v>
      </c>
      <c r="J379" s="18">
        <v>0</v>
      </c>
    </row>
    <row r="380" spans="1:10" x14ac:dyDescent="0.25">
      <c r="A380" s="17">
        <v>201040214</v>
      </c>
      <c r="B380" s="17" t="s">
        <v>421</v>
      </c>
      <c r="C380" s="17" t="s">
        <v>76</v>
      </c>
      <c r="D380" s="17" t="str">
        <f t="shared" si="3"/>
        <v>4</v>
      </c>
      <c r="E380" s="17" t="s">
        <v>76</v>
      </c>
      <c r="F380" s="17">
        <v>8418</v>
      </c>
      <c r="G380" s="17" t="s">
        <v>295</v>
      </c>
      <c r="H380" s="18">
        <v>0</v>
      </c>
      <c r="I380" s="18">
        <v>0</v>
      </c>
      <c r="J380" s="18">
        <v>0</v>
      </c>
    </row>
    <row r="381" spans="1:10" x14ac:dyDescent="0.25">
      <c r="A381" s="17">
        <v>201040214</v>
      </c>
      <c r="B381" s="17" t="s">
        <v>421</v>
      </c>
      <c r="C381" s="17" t="s">
        <v>76</v>
      </c>
      <c r="D381" s="17" t="str">
        <f t="shared" si="3"/>
        <v>4</v>
      </c>
      <c r="E381" s="17" t="s">
        <v>76</v>
      </c>
      <c r="F381" s="17">
        <v>8419</v>
      </c>
      <c r="G381" s="17" t="s">
        <v>296</v>
      </c>
      <c r="H381" s="18">
        <v>0</v>
      </c>
      <c r="I381" s="18">
        <v>0</v>
      </c>
      <c r="J381" s="18">
        <v>0</v>
      </c>
    </row>
    <row r="382" spans="1:10" x14ac:dyDescent="0.25">
      <c r="A382" s="17">
        <v>201040214</v>
      </c>
      <c r="B382" s="17" t="s">
        <v>421</v>
      </c>
      <c r="C382" s="17" t="s">
        <v>501</v>
      </c>
      <c r="D382" s="17" t="str">
        <f t="shared" si="3"/>
        <v>5</v>
      </c>
      <c r="E382" s="17" t="s">
        <v>76</v>
      </c>
      <c r="F382" s="17">
        <v>8423</v>
      </c>
      <c r="G382" s="17" t="s">
        <v>502</v>
      </c>
      <c r="H382" s="18">
        <v>0</v>
      </c>
      <c r="I382" s="18">
        <v>0</v>
      </c>
      <c r="J382" s="18">
        <v>0</v>
      </c>
    </row>
    <row r="383" spans="1:10" x14ac:dyDescent="0.25">
      <c r="A383" s="17">
        <v>201040214</v>
      </c>
      <c r="B383" s="17" t="s">
        <v>421</v>
      </c>
      <c r="C383" s="17" t="s">
        <v>76</v>
      </c>
      <c r="D383" s="17" t="str">
        <f t="shared" si="3"/>
        <v>4</v>
      </c>
      <c r="E383" s="17" t="s">
        <v>76</v>
      </c>
      <c r="F383" s="17">
        <v>8475</v>
      </c>
      <c r="G383" s="17" t="s">
        <v>297</v>
      </c>
      <c r="H383" s="18">
        <v>0</v>
      </c>
      <c r="I383" s="18">
        <v>0</v>
      </c>
      <c r="J383" s="18">
        <v>0</v>
      </c>
    </row>
    <row r="384" spans="1:10" x14ac:dyDescent="0.25">
      <c r="A384" s="17">
        <v>201040214</v>
      </c>
      <c r="B384" s="17" t="s">
        <v>421</v>
      </c>
      <c r="C384" s="17" t="s">
        <v>76</v>
      </c>
      <c r="D384" s="17" t="str">
        <f t="shared" si="3"/>
        <v>4</v>
      </c>
      <c r="E384" s="17" t="s">
        <v>76</v>
      </c>
      <c r="F384" s="17">
        <v>8482</v>
      </c>
      <c r="G384" s="17" t="s">
        <v>503</v>
      </c>
      <c r="H384" s="18">
        <v>0</v>
      </c>
      <c r="I384" s="18">
        <v>0</v>
      </c>
      <c r="J384" s="18">
        <v>0</v>
      </c>
    </row>
    <row r="385" spans="1:10" x14ac:dyDescent="0.25">
      <c r="A385" s="17">
        <v>201040214</v>
      </c>
      <c r="B385" s="17" t="s">
        <v>421</v>
      </c>
      <c r="C385" s="17" t="s">
        <v>77</v>
      </c>
      <c r="D385" s="17" t="str">
        <f t="shared" si="3"/>
        <v>4</v>
      </c>
      <c r="E385" s="17" t="s">
        <v>108</v>
      </c>
      <c r="F385" s="17">
        <v>8483</v>
      </c>
      <c r="G385" s="17" t="s">
        <v>504</v>
      </c>
      <c r="H385" s="18">
        <v>0</v>
      </c>
      <c r="I385" s="18">
        <v>0</v>
      </c>
      <c r="J385" s="18">
        <v>0</v>
      </c>
    </row>
    <row r="386" spans="1:10" x14ac:dyDescent="0.25">
      <c r="A386" s="17">
        <v>201040214</v>
      </c>
      <c r="B386" s="17" t="s">
        <v>421</v>
      </c>
      <c r="C386" s="17" t="s">
        <v>85</v>
      </c>
      <c r="D386" s="17" t="str">
        <f t="shared" si="3"/>
        <v>5</v>
      </c>
      <c r="E386" s="17" t="s">
        <v>77</v>
      </c>
      <c r="F386" s="17">
        <v>8468</v>
      </c>
      <c r="G386" s="17" t="s">
        <v>505</v>
      </c>
      <c r="H386" s="18">
        <v>0</v>
      </c>
      <c r="I386" s="18">
        <v>0</v>
      </c>
      <c r="J386" s="18">
        <v>0</v>
      </c>
    </row>
    <row r="387" spans="1:10" x14ac:dyDescent="0.25">
      <c r="A387" s="17">
        <v>201040214</v>
      </c>
      <c r="B387" s="17" t="s">
        <v>421</v>
      </c>
      <c r="C387" s="17" t="s">
        <v>77</v>
      </c>
      <c r="D387" s="17" t="str">
        <f t="shared" si="3"/>
        <v>4</v>
      </c>
      <c r="E387" s="17" t="s">
        <v>77</v>
      </c>
      <c r="F387" s="17">
        <v>8484</v>
      </c>
      <c r="G387" s="17" t="s">
        <v>506</v>
      </c>
      <c r="H387" s="18">
        <v>0</v>
      </c>
      <c r="I387" s="18">
        <v>0</v>
      </c>
      <c r="J387" s="18">
        <v>0</v>
      </c>
    </row>
    <row r="388" spans="1:10" x14ac:dyDescent="0.25">
      <c r="A388" s="17">
        <v>201040214</v>
      </c>
      <c r="B388" s="17" t="s">
        <v>421</v>
      </c>
      <c r="C388" s="17" t="s">
        <v>78</v>
      </c>
      <c r="D388" s="17" t="str">
        <f t="shared" si="3"/>
        <v>4</v>
      </c>
      <c r="E388" s="17" t="s">
        <v>78</v>
      </c>
      <c r="F388" s="17">
        <v>8479</v>
      </c>
      <c r="G388" s="17" t="s">
        <v>299</v>
      </c>
      <c r="H388" s="18">
        <v>0</v>
      </c>
      <c r="I388" s="18">
        <v>0</v>
      </c>
      <c r="J388" s="18">
        <v>0</v>
      </c>
    </row>
    <row r="389" spans="1:10" x14ac:dyDescent="0.25">
      <c r="A389" s="17">
        <v>201040214</v>
      </c>
      <c r="B389" s="17" t="s">
        <v>421</v>
      </c>
      <c r="C389" s="17" t="s">
        <v>78</v>
      </c>
      <c r="D389" s="17" t="str">
        <f t="shared" si="3"/>
        <v>4</v>
      </c>
      <c r="E389" s="17" t="s">
        <v>78</v>
      </c>
      <c r="F389" s="17">
        <v>8480</v>
      </c>
      <c r="G389" s="17" t="s">
        <v>300</v>
      </c>
      <c r="H389" s="18">
        <v>0</v>
      </c>
      <c r="I389" s="18">
        <v>0</v>
      </c>
      <c r="J389" s="18">
        <v>0</v>
      </c>
    </row>
    <row r="390" spans="1:10" x14ac:dyDescent="0.25">
      <c r="A390" s="17">
        <v>201040214</v>
      </c>
      <c r="B390" s="17" t="s">
        <v>421</v>
      </c>
      <c r="C390" s="17" t="s">
        <v>87</v>
      </c>
      <c r="D390" s="17" t="str">
        <f t="shared" si="3"/>
        <v>5</v>
      </c>
      <c r="E390" s="17" t="s">
        <v>109</v>
      </c>
      <c r="F390" s="17">
        <v>8443</v>
      </c>
      <c r="G390" s="17" t="s">
        <v>223</v>
      </c>
      <c r="H390" s="18">
        <v>0</v>
      </c>
      <c r="I390" s="18">
        <v>0</v>
      </c>
      <c r="J390" s="18">
        <v>0</v>
      </c>
    </row>
    <row r="391" spans="1:10" x14ac:dyDescent="0.25">
      <c r="A391" s="17">
        <v>201040214</v>
      </c>
      <c r="B391" s="17" t="s">
        <v>421</v>
      </c>
      <c r="C391" s="17" t="s">
        <v>110</v>
      </c>
      <c r="D391" s="17" t="str">
        <f t="shared" si="3"/>
        <v>4</v>
      </c>
      <c r="E391" s="17" t="s">
        <v>110</v>
      </c>
      <c r="F391" s="17">
        <v>8476</v>
      </c>
      <c r="G391" s="17" t="s">
        <v>507</v>
      </c>
      <c r="H391" s="18">
        <v>0</v>
      </c>
      <c r="I391" s="18">
        <v>0</v>
      </c>
      <c r="J391" s="18">
        <v>0</v>
      </c>
    </row>
    <row r="392" spans="1:10" x14ac:dyDescent="0.25">
      <c r="A392" s="17">
        <v>201040214</v>
      </c>
      <c r="B392" s="17" t="s">
        <v>421</v>
      </c>
      <c r="C392" s="17" t="s">
        <v>79</v>
      </c>
      <c r="D392" s="17" t="str">
        <f t="shared" si="3"/>
        <v>4</v>
      </c>
      <c r="E392" s="17" t="s">
        <v>79</v>
      </c>
      <c r="F392" s="17">
        <v>8621</v>
      </c>
      <c r="G392" s="17" t="s">
        <v>508</v>
      </c>
      <c r="H392" s="18">
        <v>0</v>
      </c>
      <c r="I392" s="18">
        <v>0</v>
      </c>
      <c r="J392" s="18">
        <v>0</v>
      </c>
    </row>
    <row r="393" spans="1:10" x14ac:dyDescent="0.25">
      <c r="A393" s="17">
        <v>201040214</v>
      </c>
      <c r="B393" s="17" t="s">
        <v>421</v>
      </c>
      <c r="C393" s="17" t="s">
        <v>79</v>
      </c>
      <c r="D393" s="17" t="str">
        <f t="shared" si="3"/>
        <v>4</v>
      </c>
      <c r="E393" s="17" t="s">
        <v>79</v>
      </c>
      <c r="F393" s="17">
        <v>8622</v>
      </c>
      <c r="G393" s="17" t="s">
        <v>509</v>
      </c>
      <c r="H393" s="18">
        <v>0</v>
      </c>
      <c r="I393" s="18">
        <v>0</v>
      </c>
      <c r="J393" s="18">
        <v>0</v>
      </c>
    </row>
    <row r="394" spans="1:10" x14ac:dyDescent="0.25">
      <c r="A394" s="17">
        <v>201040214</v>
      </c>
      <c r="B394" s="17" t="s">
        <v>421</v>
      </c>
      <c r="C394" s="17" t="s">
        <v>81</v>
      </c>
      <c r="D394" s="17" t="str">
        <f t="shared" ref="D394:D457" si="4">+MID(C394,5,1)</f>
        <v>4</v>
      </c>
      <c r="E394" s="17" t="s">
        <v>81</v>
      </c>
      <c r="F394" s="17">
        <v>8470</v>
      </c>
      <c r="G394" s="17" t="s">
        <v>510</v>
      </c>
      <c r="H394" s="18">
        <v>0</v>
      </c>
      <c r="I394" s="18">
        <v>0</v>
      </c>
      <c r="J394" s="18">
        <v>0</v>
      </c>
    </row>
    <row r="395" spans="1:10" x14ac:dyDescent="0.25">
      <c r="A395" s="17">
        <v>201040214</v>
      </c>
      <c r="B395" s="17" t="s">
        <v>421</v>
      </c>
      <c r="C395" s="17" t="s">
        <v>80</v>
      </c>
      <c r="D395" s="17" t="str">
        <f t="shared" si="4"/>
        <v>5</v>
      </c>
      <c r="E395" s="17" t="s">
        <v>82</v>
      </c>
      <c r="F395" s="17">
        <v>8525</v>
      </c>
      <c r="G395" s="17" t="s">
        <v>306</v>
      </c>
      <c r="H395" s="18">
        <v>0</v>
      </c>
      <c r="I395" s="18">
        <v>0</v>
      </c>
      <c r="J395" s="18">
        <v>0</v>
      </c>
    </row>
    <row r="396" spans="1:10" x14ac:dyDescent="0.25">
      <c r="A396" s="17">
        <v>201040214</v>
      </c>
      <c r="B396" s="17" t="s">
        <v>421</v>
      </c>
      <c r="C396" s="17" t="s">
        <v>80</v>
      </c>
      <c r="D396" s="17" t="str">
        <f t="shared" si="4"/>
        <v>5</v>
      </c>
      <c r="E396" s="17" t="s">
        <v>82</v>
      </c>
      <c r="F396" s="17">
        <v>8526</v>
      </c>
      <c r="G396" s="17" t="s">
        <v>307</v>
      </c>
      <c r="H396" s="18">
        <v>0</v>
      </c>
      <c r="I396" s="18">
        <v>0</v>
      </c>
      <c r="J396" s="18">
        <v>0</v>
      </c>
    </row>
    <row r="397" spans="1:10" x14ac:dyDescent="0.25">
      <c r="A397" s="17">
        <v>201040214</v>
      </c>
      <c r="B397" s="17" t="s">
        <v>421</v>
      </c>
      <c r="C397" s="17" t="s">
        <v>80</v>
      </c>
      <c r="D397" s="17" t="str">
        <f t="shared" si="4"/>
        <v>5</v>
      </c>
      <c r="E397" s="17" t="s">
        <v>82</v>
      </c>
      <c r="F397" s="17">
        <v>8527</v>
      </c>
      <c r="G397" s="17" t="s">
        <v>308</v>
      </c>
      <c r="H397" s="18">
        <v>0</v>
      </c>
      <c r="I397" s="18">
        <v>0</v>
      </c>
      <c r="J397" s="18">
        <v>0</v>
      </c>
    </row>
    <row r="398" spans="1:10" x14ac:dyDescent="0.25">
      <c r="A398" s="17">
        <v>201040214</v>
      </c>
      <c r="B398" s="17" t="s">
        <v>421</v>
      </c>
      <c r="C398" s="17" t="s">
        <v>80</v>
      </c>
      <c r="D398" s="17" t="str">
        <f t="shared" si="4"/>
        <v>5</v>
      </c>
      <c r="E398" s="17" t="s">
        <v>82</v>
      </c>
      <c r="F398" s="17">
        <v>8528</v>
      </c>
      <c r="G398" s="17" t="s">
        <v>309</v>
      </c>
      <c r="H398" s="18">
        <v>0</v>
      </c>
      <c r="I398" s="18">
        <v>0</v>
      </c>
      <c r="J398" s="18">
        <v>0</v>
      </c>
    </row>
    <row r="399" spans="1:10" x14ac:dyDescent="0.25">
      <c r="A399" s="17">
        <v>201040214</v>
      </c>
      <c r="B399" s="17" t="s">
        <v>421</v>
      </c>
      <c r="C399" s="17" t="s">
        <v>80</v>
      </c>
      <c r="D399" s="17" t="str">
        <f t="shared" si="4"/>
        <v>5</v>
      </c>
      <c r="E399" s="17" t="s">
        <v>82</v>
      </c>
      <c r="F399" s="17">
        <v>8529</v>
      </c>
      <c r="G399" s="17" t="s">
        <v>310</v>
      </c>
      <c r="H399" s="18">
        <v>0</v>
      </c>
      <c r="I399" s="18">
        <v>0</v>
      </c>
      <c r="J399" s="18">
        <v>0</v>
      </c>
    </row>
    <row r="400" spans="1:10" x14ac:dyDescent="0.25">
      <c r="A400" s="17">
        <v>201040214</v>
      </c>
      <c r="B400" s="17" t="s">
        <v>421</v>
      </c>
      <c r="C400" s="17" t="s">
        <v>80</v>
      </c>
      <c r="D400" s="17" t="str">
        <f t="shared" si="4"/>
        <v>5</v>
      </c>
      <c r="E400" s="17" t="s">
        <v>82</v>
      </c>
      <c r="F400" s="17">
        <v>8530</v>
      </c>
      <c r="G400" s="17" t="s">
        <v>311</v>
      </c>
      <c r="H400" s="18">
        <v>0</v>
      </c>
      <c r="I400" s="18">
        <v>0</v>
      </c>
      <c r="J400" s="18">
        <v>0</v>
      </c>
    </row>
    <row r="401" spans="1:10" x14ac:dyDescent="0.25">
      <c r="A401" s="17">
        <v>201040214</v>
      </c>
      <c r="B401" s="17" t="s">
        <v>421</v>
      </c>
      <c r="C401" s="17" t="s">
        <v>80</v>
      </c>
      <c r="D401" s="17" t="str">
        <f t="shared" si="4"/>
        <v>5</v>
      </c>
      <c r="E401" s="17" t="s">
        <v>82</v>
      </c>
      <c r="F401" s="17">
        <v>8531</v>
      </c>
      <c r="G401" s="17" t="s">
        <v>306</v>
      </c>
      <c r="H401" s="18">
        <v>0</v>
      </c>
      <c r="I401" s="18">
        <v>0</v>
      </c>
      <c r="J401" s="18">
        <v>0</v>
      </c>
    </row>
    <row r="402" spans="1:10" x14ac:dyDescent="0.25">
      <c r="A402" s="17">
        <v>201040214</v>
      </c>
      <c r="B402" s="17" t="s">
        <v>421</v>
      </c>
      <c r="C402" s="17" t="s">
        <v>80</v>
      </c>
      <c r="D402" s="17" t="str">
        <f t="shared" si="4"/>
        <v>5</v>
      </c>
      <c r="E402" s="17" t="s">
        <v>82</v>
      </c>
      <c r="F402" s="17">
        <v>8532</v>
      </c>
      <c r="G402" s="17" t="s">
        <v>511</v>
      </c>
      <c r="H402" s="18">
        <v>0</v>
      </c>
      <c r="I402" s="18">
        <v>0</v>
      </c>
      <c r="J402" s="18">
        <v>0</v>
      </c>
    </row>
    <row r="403" spans="1:10" x14ac:dyDescent="0.25">
      <c r="A403" s="17">
        <v>201040214</v>
      </c>
      <c r="B403" s="17" t="s">
        <v>421</v>
      </c>
      <c r="C403" s="17" t="s">
        <v>83</v>
      </c>
      <c r="D403" s="17" t="str">
        <f t="shared" si="4"/>
        <v>5</v>
      </c>
      <c r="E403" s="17" t="s">
        <v>83</v>
      </c>
      <c r="F403" s="17">
        <v>8498</v>
      </c>
      <c r="G403" s="17" t="s">
        <v>224</v>
      </c>
      <c r="H403" s="18">
        <v>0</v>
      </c>
      <c r="I403" s="18">
        <v>0</v>
      </c>
      <c r="J403" s="18">
        <v>0</v>
      </c>
    </row>
    <row r="404" spans="1:10" x14ac:dyDescent="0.25">
      <c r="A404" s="17">
        <v>201040214</v>
      </c>
      <c r="B404" s="17" t="s">
        <v>421</v>
      </c>
      <c r="C404" s="17" t="s">
        <v>83</v>
      </c>
      <c r="D404" s="17" t="str">
        <f t="shared" si="4"/>
        <v>5</v>
      </c>
      <c r="E404" s="17" t="s">
        <v>83</v>
      </c>
      <c r="F404" s="17">
        <v>8499</v>
      </c>
      <c r="G404" s="17" t="s">
        <v>225</v>
      </c>
      <c r="H404" s="18">
        <v>0</v>
      </c>
      <c r="I404" s="18">
        <v>0</v>
      </c>
      <c r="J404" s="18">
        <v>0</v>
      </c>
    </row>
    <row r="405" spans="1:10" x14ac:dyDescent="0.25">
      <c r="A405" s="17">
        <v>201040214</v>
      </c>
      <c r="B405" s="17" t="s">
        <v>421</v>
      </c>
      <c r="C405" s="17" t="s">
        <v>132</v>
      </c>
      <c r="D405" s="17" t="str">
        <f t="shared" si="4"/>
        <v>6</v>
      </c>
      <c r="E405" s="17" t="s">
        <v>83</v>
      </c>
      <c r="F405" s="17">
        <v>8617</v>
      </c>
      <c r="G405" s="17" t="s">
        <v>512</v>
      </c>
      <c r="H405" s="18">
        <v>0</v>
      </c>
      <c r="I405" s="18">
        <v>0</v>
      </c>
      <c r="J405" s="18">
        <v>0</v>
      </c>
    </row>
    <row r="406" spans="1:10" x14ac:dyDescent="0.25">
      <c r="A406" s="17">
        <v>201040214</v>
      </c>
      <c r="B406" s="17" t="s">
        <v>421</v>
      </c>
      <c r="C406" s="17" t="s">
        <v>83</v>
      </c>
      <c r="D406" s="17" t="str">
        <f t="shared" si="4"/>
        <v>5</v>
      </c>
      <c r="E406" s="17" t="s">
        <v>83</v>
      </c>
      <c r="F406" s="17">
        <v>8623</v>
      </c>
      <c r="G406" s="17" t="s">
        <v>508</v>
      </c>
      <c r="H406" s="18">
        <v>0</v>
      </c>
      <c r="I406" s="18">
        <v>0</v>
      </c>
      <c r="J406" s="18">
        <v>0</v>
      </c>
    </row>
    <row r="407" spans="1:10" x14ac:dyDescent="0.25">
      <c r="A407" s="17">
        <v>201040214</v>
      </c>
      <c r="B407" s="17" t="s">
        <v>421</v>
      </c>
      <c r="C407" s="17" t="s">
        <v>83</v>
      </c>
      <c r="D407" s="17" t="str">
        <f t="shared" si="4"/>
        <v>5</v>
      </c>
      <c r="E407" s="17" t="s">
        <v>83</v>
      </c>
      <c r="F407" s="17">
        <v>8624</v>
      </c>
      <c r="G407" s="17" t="s">
        <v>513</v>
      </c>
      <c r="H407" s="18">
        <v>0</v>
      </c>
      <c r="I407" s="18">
        <v>0</v>
      </c>
      <c r="J407" s="18">
        <v>0</v>
      </c>
    </row>
    <row r="408" spans="1:10" x14ac:dyDescent="0.25">
      <c r="A408" s="17">
        <v>201040214</v>
      </c>
      <c r="B408" s="17" t="s">
        <v>421</v>
      </c>
      <c r="C408" s="17" t="s">
        <v>83</v>
      </c>
      <c r="D408" s="17" t="str">
        <f t="shared" si="4"/>
        <v>5</v>
      </c>
      <c r="E408" s="17" t="s">
        <v>83</v>
      </c>
      <c r="F408" s="17">
        <v>8625</v>
      </c>
      <c r="G408" s="17" t="s">
        <v>514</v>
      </c>
      <c r="H408" s="18">
        <v>0</v>
      </c>
      <c r="I408" s="18">
        <v>0</v>
      </c>
      <c r="J408" s="18">
        <v>0</v>
      </c>
    </row>
    <row r="409" spans="1:10" x14ac:dyDescent="0.25">
      <c r="A409" s="17">
        <v>201040214</v>
      </c>
      <c r="B409" s="17" t="s">
        <v>421</v>
      </c>
      <c r="C409" s="17" t="s">
        <v>158</v>
      </c>
      <c r="D409" s="17" t="str">
        <f t="shared" si="4"/>
        <v>6</v>
      </c>
      <c r="E409" s="17" t="s">
        <v>129</v>
      </c>
      <c r="F409" s="17">
        <v>8618</v>
      </c>
      <c r="G409" s="17" t="s">
        <v>515</v>
      </c>
      <c r="H409" s="18">
        <v>0</v>
      </c>
      <c r="I409" s="18">
        <v>0</v>
      </c>
      <c r="J409" s="18">
        <v>0</v>
      </c>
    </row>
    <row r="410" spans="1:10" x14ac:dyDescent="0.25">
      <c r="A410" s="17">
        <v>201040214</v>
      </c>
      <c r="B410" s="17" t="s">
        <v>421</v>
      </c>
      <c r="C410" s="17" t="s">
        <v>516</v>
      </c>
      <c r="D410" s="17" t="str">
        <f t="shared" si="4"/>
        <v>6</v>
      </c>
      <c r="E410" s="17" t="s">
        <v>84</v>
      </c>
      <c r="F410" s="17">
        <v>8619</v>
      </c>
      <c r="G410" s="17" t="s">
        <v>517</v>
      </c>
      <c r="H410" s="18">
        <v>0</v>
      </c>
      <c r="I410" s="18">
        <v>0</v>
      </c>
      <c r="J410" s="18">
        <v>0</v>
      </c>
    </row>
    <row r="411" spans="1:10" x14ac:dyDescent="0.25">
      <c r="A411" s="17">
        <v>201040214</v>
      </c>
      <c r="B411" s="17" t="s">
        <v>421</v>
      </c>
      <c r="C411" s="17" t="s">
        <v>516</v>
      </c>
      <c r="D411" s="17" t="str">
        <f t="shared" si="4"/>
        <v>6</v>
      </c>
      <c r="E411" s="17" t="s">
        <v>84</v>
      </c>
      <c r="F411" s="17">
        <v>8620</v>
      </c>
      <c r="G411" s="17" t="s">
        <v>518</v>
      </c>
      <c r="H411" s="18">
        <v>0</v>
      </c>
      <c r="I411" s="18">
        <v>0</v>
      </c>
      <c r="J411" s="18">
        <v>0</v>
      </c>
    </row>
    <row r="412" spans="1:10" x14ac:dyDescent="0.25">
      <c r="A412" s="17">
        <v>201040214</v>
      </c>
      <c r="B412" s="17" t="s">
        <v>421</v>
      </c>
      <c r="C412" s="17" t="s">
        <v>159</v>
      </c>
      <c r="D412" s="17" t="str">
        <f t="shared" si="4"/>
        <v>6</v>
      </c>
      <c r="E412" s="17" t="s">
        <v>155</v>
      </c>
      <c r="F412" s="17">
        <v>8616</v>
      </c>
      <c r="G412" s="17" t="s">
        <v>519</v>
      </c>
      <c r="H412" s="18">
        <v>0</v>
      </c>
      <c r="I412" s="18">
        <v>0</v>
      </c>
      <c r="J412" s="18">
        <v>0</v>
      </c>
    </row>
    <row r="413" spans="1:10" x14ac:dyDescent="0.25">
      <c r="A413" s="17">
        <v>201040214</v>
      </c>
      <c r="B413" s="17" t="s">
        <v>421</v>
      </c>
      <c r="C413" s="17" t="s">
        <v>85</v>
      </c>
      <c r="D413" s="17" t="str">
        <f t="shared" si="4"/>
        <v>5</v>
      </c>
      <c r="E413" s="17" t="s">
        <v>85</v>
      </c>
      <c r="F413" s="17">
        <v>8613</v>
      </c>
      <c r="G413" s="17" t="s">
        <v>317</v>
      </c>
      <c r="H413" s="18">
        <v>0</v>
      </c>
      <c r="I413" s="18">
        <v>0</v>
      </c>
      <c r="J413" s="18">
        <v>0</v>
      </c>
    </row>
    <row r="414" spans="1:10" x14ac:dyDescent="0.25">
      <c r="A414" s="17">
        <v>201040214</v>
      </c>
      <c r="B414" s="17" t="s">
        <v>421</v>
      </c>
      <c r="C414" s="17" t="s">
        <v>85</v>
      </c>
      <c r="D414" s="17" t="str">
        <f t="shared" si="4"/>
        <v>5</v>
      </c>
      <c r="E414" s="17" t="s">
        <v>85</v>
      </c>
      <c r="F414" s="17">
        <v>8646</v>
      </c>
      <c r="G414" s="17" t="s">
        <v>520</v>
      </c>
      <c r="H414" s="18">
        <v>0</v>
      </c>
      <c r="I414" s="18">
        <v>0</v>
      </c>
      <c r="J414" s="18">
        <v>0</v>
      </c>
    </row>
    <row r="415" spans="1:10" x14ac:dyDescent="0.25">
      <c r="A415" s="17">
        <v>201040214</v>
      </c>
      <c r="B415" s="17" t="s">
        <v>421</v>
      </c>
      <c r="C415" s="17" t="s">
        <v>86</v>
      </c>
      <c r="D415" s="17" t="str">
        <f t="shared" si="4"/>
        <v>5</v>
      </c>
      <c r="E415" s="17" t="s">
        <v>86</v>
      </c>
      <c r="F415" s="17">
        <v>8611</v>
      </c>
      <c r="G415" s="17" t="s">
        <v>319</v>
      </c>
      <c r="H415" s="18">
        <v>0</v>
      </c>
      <c r="I415" s="18">
        <v>0</v>
      </c>
      <c r="J415" s="18">
        <v>0</v>
      </c>
    </row>
    <row r="416" spans="1:10" x14ac:dyDescent="0.25">
      <c r="A416" s="17">
        <v>201040214</v>
      </c>
      <c r="B416" s="17" t="s">
        <v>421</v>
      </c>
      <c r="C416" s="17" t="s">
        <v>86</v>
      </c>
      <c r="D416" s="17" t="str">
        <f t="shared" si="4"/>
        <v>5</v>
      </c>
      <c r="E416" s="17" t="s">
        <v>86</v>
      </c>
      <c r="F416" s="17">
        <v>8647</v>
      </c>
      <c r="G416" s="17" t="s">
        <v>521</v>
      </c>
      <c r="H416" s="18">
        <v>0</v>
      </c>
      <c r="I416" s="18">
        <v>0</v>
      </c>
      <c r="J416" s="18">
        <v>0</v>
      </c>
    </row>
    <row r="417" spans="1:10" x14ac:dyDescent="0.25">
      <c r="A417" s="17">
        <v>201040214</v>
      </c>
      <c r="B417" s="17" t="s">
        <v>421</v>
      </c>
      <c r="C417" s="17" t="s">
        <v>87</v>
      </c>
      <c r="D417" s="17" t="str">
        <f t="shared" si="4"/>
        <v>5</v>
      </c>
      <c r="E417" s="17" t="s">
        <v>87</v>
      </c>
      <c r="F417" s="17">
        <v>8612</v>
      </c>
      <c r="G417" s="17" t="s">
        <v>320</v>
      </c>
      <c r="H417" s="18">
        <v>0</v>
      </c>
      <c r="I417" s="18">
        <v>0</v>
      </c>
      <c r="J417" s="18">
        <v>0</v>
      </c>
    </row>
    <row r="418" spans="1:10" x14ac:dyDescent="0.25">
      <c r="A418" s="17">
        <v>201040214</v>
      </c>
      <c r="B418" s="17" t="s">
        <v>421</v>
      </c>
      <c r="C418" s="17" t="s">
        <v>87</v>
      </c>
      <c r="D418" s="17" t="str">
        <f t="shared" si="4"/>
        <v>5</v>
      </c>
      <c r="E418" s="17" t="s">
        <v>87</v>
      </c>
      <c r="F418" s="17">
        <v>8615</v>
      </c>
      <c r="G418" s="17" t="s">
        <v>321</v>
      </c>
      <c r="H418" s="18">
        <v>0</v>
      </c>
      <c r="I418" s="18">
        <v>0</v>
      </c>
      <c r="J418" s="18">
        <v>0</v>
      </c>
    </row>
    <row r="419" spans="1:10" x14ac:dyDescent="0.25">
      <c r="A419" s="17">
        <v>201040214</v>
      </c>
      <c r="B419" s="17" t="s">
        <v>421</v>
      </c>
      <c r="C419" s="17" t="s">
        <v>87</v>
      </c>
      <c r="D419" s="17" t="str">
        <f t="shared" si="4"/>
        <v>5</v>
      </c>
      <c r="E419" s="17" t="s">
        <v>87</v>
      </c>
      <c r="F419" s="17">
        <v>8648</v>
      </c>
      <c r="G419" s="17" t="s">
        <v>522</v>
      </c>
      <c r="H419" s="18">
        <v>0</v>
      </c>
      <c r="I419" s="18">
        <v>0</v>
      </c>
      <c r="J419" s="18">
        <v>0</v>
      </c>
    </row>
    <row r="420" spans="1:10" x14ac:dyDescent="0.25">
      <c r="A420" s="17">
        <v>201040214</v>
      </c>
      <c r="B420" s="17" t="s">
        <v>421</v>
      </c>
      <c r="C420" s="17" t="s">
        <v>115</v>
      </c>
      <c r="D420" s="17" t="str">
        <f t="shared" si="4"/>
        <v>6</v>
      </c>
      <c r="E420" s="17" t="s">
        <v>88</v>
      </c>
      <c r="F420" s="17">
        <v>8609</v>
      </c>
      <c r="G420" s="17" t="s">
        <v>523</v>
      </c>
      <c r="H420" s="18">
        <v>0</v>
      </c>
      <c r="I420" s="18">
        <v>0</v>
      </c>
      <c r="J420" s="18">
        <v>0</v>
      </c>
    </row>
    <row r="421" spans="1:10" x14ac:dyDescent="0.25">
      <c r="A421" s="17">
        <v>201040214</v>
      </c>
      <c r="B421" s="17" t="s">
        <v>421</v>
      </c>
      <c r="C421" s="17" t="s">
        <v>130</v>
      </c>
      <c r="D421" s="17" t="str">
        <f t="shared" si="4"/>
        <v>5</v>
      </c>
      <c r="E421" s="17" t="s">
        <v>130</v>
      </c>
      <c r="F421" s="17">
        <v>8614</v>
      </c>
      <c r="G421" s="17" t="s">
        <v>322</v>
      </c>
      <c r="H421" s="18">
        <v>0</v>
      </c>
      <c r="I421" s="18">
        <v>0</v>
      </c>
      <c r="J421" s="18">
        <v>0</v>
      </c>
    </row>
    <row r="422" spans="1:10" x14ac:dyDescent="0.25">
      <c r="A422" s="17">
        <v>201040214</v>
      </c>
      <c r="B422" s="17" t="s">
        <v>421</v>
      </c>
      <c r="C422" s="17" t="s">
        <v>111</v>
      </c>
      <c r="D422" s="17" t="str">
        <f t="shared" si="4"/>
        <v>5</v>
      </c>
      <c r="E422" s="17" t="s">
        <v>111</v>
      </c>
      <c r="F422" s="17">
        <v>8607</v>
      </c>
      <c r="G422" s="17" t="s">
        <v>524</v>
      </c>
      <c r="H422" s="18">
        <v>0</v>
      </c>
      <c r="I422" s="18">
        <v>0</v>
      </c>
      <c r="J422" s="18">
        <v>0</v>
      </c>
    </row>
    <row r="423" spans="1:10" x14ac:dyDescent="0.25">
      <c r="A423" s="17">
        <v>201040214</v>
      </c>
      <c r="B423" s="17" t="s">
        <v>421</v>
      </c>
      <c r="C423" s="17" t="s">
        <v>111</v>
      </c>
      <c r="D423" s="17" t="str">
        <f t="shared" si="4"/>
        <v>5</v>
      </c>
      <c r="E423" s="17" t="s">
        <v>111</v>
      </c>
      <c r="F423" s="17">
        <v>8608</v>
      </c>
      <c r="G423" s="17" t="s">
        <v>525</v>
      </c>
      <c r="H423" s="18">
        <v>0</v>
      </c>
      <c r="I423" s="18">
        <v>0</v>
      </c>
      <c r="J423" s="18">
        <v>0</v>
      </c>
    </row>
    <row r="424" spans="1:10" x14ac:dyDescent="0.25">
      <c r="A424" s="17">
        <v>201040214</v>
      </c>
      <c r="B424" s="17" t="s">
        <v>421</v>
      </c>
      <c r="C424" s="17" t="s">
        <v>89</v>
      </c>
      <c r="D424" s="17" t="str">
        <f t="shared" si="4"/>
        <v>5</v>
      </c>
      <c r="E424" s="17" t="s">
        <v>89</v>
      </c>
      <c r="F424" s="17">
        <v>8645</v>
      </c>
      <c r="G424" s="17" t="s">
        <v>526</v>
      </c>
      <c r="H424" s="18">
        <v>0</v>
      </c>
      <c r="I424" s="18">
        <v>0</v>
      </c>
      <c r="J424" s="18">
        <v>0</v>
      </c>
    </row>
    <row r="425" spans="1:10" x14ac:dyDescent="0.25">
      <c r="A425" s="17">
        <v>201040214</v>
      </c>
      <c r="B425" s="17" t="s">
        <v>421</v>
      </c>
      <c r="C425" s="17" t="s">
        <v>157</v>
      </c>
      <c r="D425" s="17" t="str">
        <f t="shared" si="4"/>
        <v>5</v>
      </c>
      <c r="E425" s="17" t="s">
        <v>157</v>
      </c>
      <c r="F425" s="17">
        <v>8681</v>
      </c>
      <c r="G425" s="17" t="s">
        <v>527</v>
      </c>
      <c r="H425" s="18">
        <v>0</v>
      </c>
      <c r="I425" s="18">
        <v>0</v>
      </c>
      <c r="J425" s="18">
        <v>0</v>
      </c>
    </row>
    <row r="426" spans="1:10" x14ac:dyDescent="0.25">
      <c r="A426" s="17">
        <v>201040214</v>
      </c>
      <c r="B426" s="17" t="s">
        <v>421</v>
      </c>
      <c r="C426" s="17" t="s">
        <v>157</v>
      </c>
      <c r="D426" s="17" t="str">
        <f t="shared" si="4"/>
        <v>5</v>
      </c>
      <c r="E426" s="17" t="s">
        <v>157</v>
      </c>
      <c r="F426" s="17">
        <v>8682</v>
      </c>
      <c r="G426" s="17" t="s">
        <v>528</v>
      </c>
      <c r="H426" s="18">
        <v>0</v>
      </c>
      <c r="I426" s="18">
        <v>0</v>
      </c>
      <c r="J426" s="18">
        <v>0</v>
      </c>
    </row>
    <row r="427" spans="1:10" x14ac:dyDescent="0.25">
      <c r="A427" s="17">
        <v>201040214</v>
      </c>
      <c r="B427" s="17" t="s">
        <v>421</v>
      </c>
      <c r="C427" s="17" t="s">
        <v>112</v>
      </c>
      <c r="D427" s="17" t="str">
        <f t="shared" si="4"/>
        <v>6</v>
      </c>
      <c r="E427" s="17" t="s">
        <v>112</v>
      </c>
      <c r="F427" s="17">
        <v>8688</v>
      </c>
      <c r="G427" s="17" t="s">
        <v>228</v>
      </c>
      <c r="H427" s="18">
        <v>0</v>
      </c>
      <c r="I427" s="18">
        <v>0</v>
      </c>
      <c r="J427" s="18">
        <v>0</v>
      </c>
    </row>
    <row r="428" spans="1:10" x14ac:dyDescent="0.25">
      <c r="A428" s="17">
        <v>201040214</v>
      </c>
      <c r="B428" s="17" t="s">
        <v>421</v>
      </c>
      <c r="C428" s="17" t="s">
        <v>112</v>
      </c>
      <c r="D428" s="17" t="str">
        <f t="shared" si="4"/>
        <v>6</v>
      </c>
      <c r="E428" s="17" t="s">
        <v>112</v>
      </c>
      <c r="F428" s="17">
        <v>8689</v>
      </c>
      <c r="G428" s="17" t="s">
        <v>324</v>
      </c>
      <c r="H428" s="18">
        <v>0</v>
      </c>
      <c r="I428" s="18">
        <v>0</v>
      </c>
      <c r="J428" s="18">
        <v>0</v>
      </c>
    </row>
    <row r="429" spans="1:10" x14ac:dyDescent="0.25">
      <c r="A429" s="17">
        <v>201040214</v>
      </c>
      <c r="B429" s="17" t="s">
        <v>421</v>
      </c>
      <c r="C429" s="17" t="s">
        <v>112</v>
      </c>
      <c r="D429" s="17" t="str">
        <f t="shared" si="4"/>
        <v>6</v>
      </c>
      <c r="E429" s="17" t="s">
        <v>112</v>
      </c>
      <c r="F429" s="17">
        <v>8690</v>
      </c>
      <c r="G429" s="17" t="s">
        <v>325</v>
      </c>
      <c r="H429" s="18">
        <v>0</v>
      </c>
      <c r="I429" s="18">
        <v>0</v>
      </c>
      <c r="J429" s="18">
        <v>0</v>
      </c>
    </row>
    <row r="430" spans="1:10" x14ac:dyDescent="0.25">
      <c r="A430" s="17">
        <v>201040214</v>
      </c>
      <c r="B430" s="17" t="s">
        <v>421</v>
      </c>
      <c r="C430" s="17" t="s">
        <v>112</v>
      </c>
      <c r="D430" s="17" t="str">
        <f t="shared" si="4"/>
        <v>6</v>
      </c>
      <c r="E430" s="17" t="s">
        <v>112</v>
      </c>
      <c r="F430" s="17">
        <v>8691</v>
      </c>
      <c r="G430" s="17" t="s">
        <v>326</v>
      </c>
      <c r="H430" s="18">
        <v>0</v>
      </c>
      <c r="I430" s="18">
        <v>0</v>
      </c>
      <c r="J430" s="18">
        <v>0</v>
      </c>
    </row>
    <row r="431" spans="1:10" x14ac:dyDescent="0.25">
      <c r="A431" s="17">
        <v>201040214</v>
      </c>
      <c r="B431" s="17" t="s">
        <v>421</v>
      </c>
      <c r="C431" s="17" t="s">
        <v>112</v>
      </c>
      <c r="D431" s="17" t="str">
        <f t="shared" si="4"/>
        <v>6</v>
      </c>
      <c r="E431" s="17" t="s">
        <v>112</v>
      </c>
      <c r="F431" s="17">
        <v>8692</v>
      </c>
      <c r="G431" s="17" t="s">
        <v>529</v>
      </c>
      <c r="H431" s="18">
        <v>0</v>
      </c>
      <c r="I431" s="18">
        <v>0</v>
      </c>
      <c r="J431" s="18">
        <v>0</v>
      </c>
    </row>
    <row r="432" spans="1:10" x14ac:dyDescent="0.25">
      <c r="A432" s="17">
        <v>201040214</v>
      </c>
      <c r="B432" s="17" t="s">
        <v>421</v>
      </c>
      <c r="C432" s="17" t="s">
        <v>112</v>
      </c>
      <c r="D432" s="17" t="str">
        <f t="shared" si="4"/>
        <v>6</v>
      </c>
      <c r="E432" s="17" t="s">
        <v>112</v>
      </c>
      <c r="F432" s="17">
        <v>8693</v>
      </c>
      <c r="G432" s="17" t="s">
        <v>530</v>
      </c>
      <c r="H432" s="18">
        <v>0</v>
      </c>
      <c r="I432" s="18">
        <v>0</v>
      </c>
      <c r="J432" s="18">
        <v>0</v>
      </c>
    </row>
    <row r="433" spans="1:10" x14ac:dyDescent="0.25">
      <c r="A433" s="17">
        <v>201040214</v>
      </c>
      <c r="B433" s="17" t="s">
        <v>421</v>
      </c>
      <c r="C433" s="17" t="s">
        <v>112</v>
      </c>
      <c r="D433" s="17" t="str">
        <f t="shared" si="4"/>
        <v>6</v>
      </c>
      <c r="E433" s="17" t="s">
        <v>112</v>
      </c>
      <c r="F433" s="17">
        <v>8750</v>
      </c>
      <c r="G433" s="17" t="s">
        <v>229</v>
      </c>
      <c r="H433" s="18">
        <v>0</v>
      </c>
      <c r="I433" s="18">
        <v>0</v>
      </c>
      <c r="J433" s="18">
        <v>0</v>
      </c>
    </row>
    <row r="434" spans="1:10" x14ac:dyDescent="0.25">
      <c r="A434" s="17">
        <v>201040214</v>
      </c>
      <c r="B434" s="17" t="s">
        <v>421</v>
      </c>
      <c r="C434" s="17" t="s">
        <v>131</v>
      </c>
      <c r="D434" s="17" t="str">
        <f t="shared" si="4"/>
        <v>6</v>
      </c>
      <c r="E434" s="17" t="s">
        <v>131</v>
      </c>
      <c r="F434" s="17">
        <v>8685</v>
      </c>
      <c r="G434" s="17" t="s">
        <v>328</v>
      </c>
      <c r="H434" s="18">
        <v>0</v>
      </c>
      <c r="I434" s="18">
        <v>0</v>
      </c>
      <c r="J434" s="18">
        <v>0</v>
      </c>
    </row>
    <row r="435" spans="1:10" x14ac:dyDescent="0.25">
      <c r="A435" s="17">
        <v>201040214</v>
      </c>
      <c r="B435" s="17" t="s">
        <v>421</v>
      </c>
      <c r="C435" s="17" t="s">
        <v>131</v>
      </c>
      <c r="D435" s="17" t="str">
        <f t="shared" si="4"/>
        <v>6</v>
      </c>
      <c r="E435" s="17" t="s">
        <v>131</v>
      </c>
      <c r="F435" s="17">
        <v>8694</v>
      </c>
      <c r="G435" s="17" t="s">
        <v>531</v>
      </c>
      <c r="H435" s="18">
        <v>0</v>
      </c>
      <c r="I435" s="18">
        <v>0</v>
      </c>
      <c r="J435" s="18">
        <v>0</v>
      </c>
    </row>
    <row r="436" spans="1:10" x14ac:dyDescent="0.25">
      <c r="A436" s="17">
        <v>201040214</v>
      </c>
      <c r="B436" s="17" t="s">
        <v>421</v>
      </c>
      <c r="C436" s="17" t="s">
        <v>131</v>
      </c>
      <c r="D436" s="17" t="str">
        <f t="shared" si="4"/>
        <v>6</v>
      </c>
      <c r="E436" s="17" t="s">
        <v>131</v>
      </c>
      <c r="F436" s="17">
        <v>8695</v>
      </c>
      <c r="G436" s="17" t="s">
        <v>532</v>
      </c>
      <c r="H436" s="18">
        <v>0</v>
      </c>
      <c r="I436" s="18">
        <v>0</v>
      </c>
      <c r="J436" s="18">
        <v>0</v>
      </c>
    </row>
    <row r="437" spans="1:10" x14ac:dyDescent="0.25">
      <c r="A437" s="17">
        <v>201040214</v>
      </c>
      <c r="B437" s="17" t="s">
        <v>421</v>
      </c>
      <c r="C437" s="17" t="s">
        <v>131</v>
      </c>
      <c r="D437" s="17" t="str">
        <f t="shared" si="4"/>
        <v>6</v>
      </c>
      <c r="E437" s="17" t="s">
        <v>131</v>
      </c>
      <c r="F437" s="17">
        <v>8696</v>
      </c>
      <c r="G437" s="17" t="s">
        <v>533</v>
      </c>
      <c r="H437" s="18">
        <v>0</v>
      </c>
      <c r="I437" s="18">
        <v>0</v>
      </c>
      <c r="J437" s="18">
        <v>0</v>
      </c>
    </row>
    <row r="438" spans="1:10" x14ac:dyDescent="0.25">
      <c r="A438" s="17">
        <v>201040214</v>
      </c>
      <c r="B438" s="17" t="s">
        <v>421</v>
      </c>
      <c r="C438" s="17" t="s">
        <v>131</v>
      </c>
      <c r="D438" s="17" t="str">
        <f t="shared" si="4"/>
        <v>6</v>
      </c>
      <c r="E438" s="17" t="s">
        <v>131</v>
      </c>
      <c r="F438" s="17">
        <v>8697</v>
      </c>
      <c r="G438" s="17" t="s">
        <v>534</v>
      </c>
      <c r="H438" s="18">
        <v>0</v>
      </c>
      <c r="I438" s="18">
        <v>0</v>
      </c>
      <c r="J438" s="18">
        <v>0</v>
      </c>
    </row>
    <row r="439" spans="1:10" x14ac:dyDescent="0.25">
      <c r="A439" s="17">
        <v>201040214</v>
      </c>
      <c r="B439" s="17" t="s">
        <v>421</v>
      </c>
      <c r="C439" s="17" t="s">
        <v>131</v>
      </c>
      <c r="D439" s="17" t="str">
        <f t="shared" si="4"/>
        <v>6</v>
      </c>
      <c r="E439" s="17" t="s">
        <v>131</v>
      </c>
      <c r="F439" s="17">
        <v>8698</v>
      </c>
      <c r="G439" s="17" t="s">
        <v>535</v>
      </c>
      <c r="H439" s="18">
        <v>0</v>
      </c>
      <c r="I439" s="18">
        <v>0</v>
      </c>
      <c r="J439" s="18">
        <v>0</v>
      </c>
    </row>
    <row r="440" spans="1:10" x14ac:dyDescent="0.25">
      <c r="A440" s="17">
        <v>201040214</v>
      </c>
      <c r="B440" s="17" t="s">
        <v>421</v>
      </c>
      <c r="C440" s="17" t="s">
        <v>131</v>
      </c>
      <c r="D440" s="17" t="str">
        <f t="shared" si="4"/>
        <v>6</v>
      </c>
      <c r="E440" s="17" t="s">
        <v>131</v>
      </c>
      <c r="F440" s="17">
        <v>8699</v>
      </c>
      <c r="G440" s="17" t="s">
        <v>536</v>
      </c>
      <c r="H440" s="18">
        <v>0</v>
      </c>
      <c r="I440" s="18">
        <v>0</v>
      </c>
      <c r="J440" s="18">
        <v>0</v>
      </c>
    </row>
    <row r="441" spans="1:10" x14ac:dyDescent="0.25">
      <c r="A441" s="17">
        <v>201040214</v>
      </c>
      <c r="B441" s="17" t="s">
        <v>421</v>
      </c>
      <c r="C441" s="17" t="s">
        <v>131</v>
      </c>
      <c r="D441" s="17" t="str">
        <f t="shared" si="4"/>
        <v>6</v>
      </c>
      <c r="E441" s="17" t="s">
        <v>131</v>
      </c>
      <c r="F441" s="17">
        <v>8754</v>
      </c>
      <c r="G441" s="17" t="s">
        <v>329</v>
      </c>
      <c r="H441" s="18">
        <v>0</v>
      </c>
      <c r="I441" s="18">
        <v>0</v>
      </c>
      <c r="J441" s="18">
        <v>0</v>
      </c>
    </row>
    <row r="442" spans="1:10" x14ac:dyDescent="0.25">
      <c r="A442" s="17">
        <v>201040214</v>
      </c>
      <c r="B442" s="17" t="s">
        <v>421</v>
      </c>
      <c r="C442" s="17" t="s">
        <v>131</v>
      </c>
      <c r="D442" s="17" t="str">
        <f t="shared" si="4"/>
        <v>6</v>
      </c>
      <c r="E442" s="17" t="s">
        <v>131</v>
      </c>
      <c r="F442" s="17">
        <v>8774</v>
      </c>
      <c r="G442" s="17" t="s">
        <v>537</v>
      </c>
      <c r="H442" s="18">
        <v>0</v>
      </c>
      <c r="I442" s="18">
        <v>0</v>
      </c>
      <c r="J442" s="18">
        <v>0</v>
      </c>
    </row>
    <row r="443" spans="1:10" x14ac:dyDescent="0.25">
      <c r="A443" s="17">
        <v>201040214</v>
      </c>
      <c r="B443" s="17" t="s">
        <v>421</v>
      </c>
      <c r="C443" s="17" t="s">
        <v>538</v>
      </c>
      <c r="D443" s="17" t="str">
        <f t="shared" si="4"/>
        <v>7</v>
      </c>
      <c r="E443" s="17" t="s">
        <v>159</v>
      </c>
      <c r="F443" s="17">
        <v>8777</v>
      </c>
      <c r="G443" s="17" t="s">
        <v>539</v>
      </c>
      <c r="H443" s="18">
        <v>0</v>
      </c>
      <c r="I443" s="18">
        <v>0</v>
      </c>
      <c r="J443" s="18">
        <v>0</v>
      </c>
    </row>
    <row r="444" spans="1:10" x14ac:dyDescent="0.25">
      <c r="A444" s="17">
        <v>201040214</v>
      </c>
      <c r="B444" s="17" t="s">
        <v>421</v>
      </c>
      <c r="C444" s="17" t="s">
        <v>135</v>
      </c>
      <c r="D444" s="17" t="str">
        <f t="shared" si="4"/>
        <v>7</v>
      </c>
      <c r="E444" s="17" t="s">
        <v>92</v>
      </c>
      <c r="F444" s="17">
        <v>8752</v>
      </c>
      <c r="G444" s="17" t="s">
        <v>540</v>
      </c>
      <c r="H444" s="18">
        <v>0</v>
      </c>
      <c r="I444" s="18">
        <v>0</v>
      </c>
      <c r="J444" s="18">
        <v>0</v>
      </c>
    </row>
    <row r="445" spans="1:10" x14ac:dyDescent="0.25">
      <c r="A445" s="17">
        <v>201040214</v>
      </c>
      <c r="B445" s="17" t="s">
        <v>421</v>
      </c>
      <c r="C445" s="17" t="s">
        <v>115</v>
      </c>
      <c r="D445" s="17" t="str">
        <f t="shared" si="4"/>
        <v>6</v>
      </c>
      <c r="E445" s="17" t="s">
        <v>115</v>
      </c>
      <c r="F445" s="17">
        <v>8775</v>
      </c>
      <c r="G445" s="17" t="s">
        <v>541</v>
      </c>
      <c r="H445" s="18">
        <v>0</v>
      </c>
      <c r="I445" s="18">
        <v>0</v>
      </c>
      <c r="J445" s="18">
        <v>0</v>
      </c>
    </row>
    <row r="446" spans="1:10" x14ac:dyDescent="0.25">
      <c r="A446" s="17">
        <v>201040214</v>
      </c>
      <c r="B446" s="17" t="s">
        <v>421</v>
      </c>
      <c r="C446" s="17" t="s">
        <v>115</v>
      </c>
      <c r="D446" s="17" t="str">
        <f t="shared" si="4"/>
        <v>6</v>
      </c>
      <c r="E446" s="17" t="s">
        <v>115</v>
      </c>
      <c r="F446" s="17">
        <v>8776</v>
      </c>
      <c r="G446" s="17" t="s">
        <v>542</v>
      </c>
      <c r="H446" s="18">
        <v>0</v>
      </c>
      <c r="I446" s="18">
        <v>0</v>
      </c>
      <c r="J446" s="18">
        <v>0</v>
      </c>
    </row>
    <row r="447" spans="1:10" x14ac:dyDescent="0.25">
      <c r="A447" s="17">
        <v>201040214</v>
      </c>
      <c r="B447" s="17" t="s">
        <v>421</v>
      </c>
      <c r="C447" s="17" t="s">
        <v>118</v>
      </c>
      <c r="D447" s="17" t="str">
        <f t="shared" si="4"/>
        <v>8</v>
      </c>
      <c r="E447" s="17" t="s">
        <v>93</v>
      </c>
      <c r="F447" s="17">
        <v>8778</v>
      </c>
      <c r="G447" s="17" t="s">
        <v>543</v>
      </c>
      <c r="H447" s="18">
        <v>0</v>
      </c>
      <c r="I447" s="18">
        <v>0</v>
      </c>
      <c r="J447" s="18">
        <v>0</v>
      </c>
    </row>
    <row r="448" spans="1:10" x14ac:dyDescent="0.25">
      <c r="A448" s="17">
        <v>201040214</v>
      </c>
      <c r="B448" s="17" t="s">
        <v>421</v>
      </c>
      <c r="C448" s="17" t="s">
        <v>118</v>
      </c>
      <c r="D448" s="17" t="str">
        <f t="shared" si="4"/>
        <v>8</v>
      </c>
      <c r="E448" s="17" t="s">
        <v>93</v>
      </c>
      <c r="F448" s="17">
        <v>8779</v>
      </c>
      <c r="G448" s="17" t="s">
        <v>544</v>
      </c>
      <c r="H448" s="18">
        <v>0</v>
      </c>
      <c r="I448" s="18">
        <v>0</v>
      </c>
      <c r="J448" s="18">
        <v>0</v>
      </c>
    </row>
    <row r="449" spans="1:10" x14ac:dyDescent="0.25">
      <c r="A449" s="17">
        <v>201040214</v>
      </c>
      <c r="B449" s="17" t="s">
        <v>421</v>
      </c>
      <c r="C449" s="17" t="s">
        <v>93</v>
      </c>
      <c r="D449" s="17" t="str">
        <f t="shared" si="4"/>
        <v>6</v>
      </c>
      <c r="E449" s="17" t="s">
        <v>93</v>
      </c>
      <c r="F449" s="17">
        <v>8780</v>
      </c>
      <c r="G449" s="17" t="s">
        <v>545</v>
      </c>
      <c r="H449" s="18">
        <v>0</v>
      </c>
      <c r="I449" s="18">
        <v>0</v>
      </c>
      <c r="J449" s="18">
        <v>0</v>
      </c>
    </row>
    <row r="450" spans="1:10" x14ac:dyDescent="0.25">
      <c r="A450" s="17">
        <v>201040214</v>
      </c>
      <c r="B450" s="17" t="s">
        <v>421</v>
      </c>
      <c r="C450" s="17" t="s">
        <v>118</v>
      </c>
      <c r="D450" s="17" t="str">
        <f t="shared" si="4"/>
        <v>8</v>
      </c>
      <c r="E450" s="17" t="s">
        <v>94</v>
      </c>
      <c r="F450" s="17">
        <v>8805</v>
      </c>
      <c r="G450" s="17" t="s">
        <v>546</v>
      </c>
      <c r="H450" s="18">
        <v>0</v>
      </c>
      <c r="I450" s="18">
        <v>0</v>
      </c>
      <c r="J450" s="18">
        <v>0</v>
      </c>
    </row>
    <row r="451" spans="1:10" x14ac:dyDescent="0.25">
      <c r="A451" s="17">
        <v>201040214</v>
      </c>
      <c r="B451" s="17" t="s">
        <v>421</v>
      </c>
      <c r="C451" s="17" t="s">
        <v>94</v>
      </c>
      <c r="D451" s="17" t="str">
        <f t="shared" si="4"/>
        <v>7</v>
      </c>
      <c r="E451" s="17" t="s">
        <v>94</v>
      </c>
      <c r="F451" s="17">
        <v>8816</v>
      </c>
      <c r="G451" s="17" t="s">
        <v>338</v>
      </c>
      <c r="H451" s="18">
        <v>0</v>
      </c>
      <c r="I451" s="18">
        <v>0</v>
      </c>
      <c r="J451" s="18">
        <v>0</v>
      </c>
    </row>
    <row r="452" spans="1:10" x14ac:dyDescent="0.25">
      <c r="A452" s="17">
        <v>201040214</v>
      </c>
      <c r="B452" s="17" t="s">
        <v>421</v>
      </c>
      <c r="C452" s="17" t="s">
        <v>94</v>
      </c>
      <c r="D452" s="17" t="str">
        <f t="shared" si="4"/>
        <v>7</v>
      </c>
      <c r="E452" s="17" t="s">
        <v>94</v>
      </c>
      <c r="F452" s="17">
        <v>8818</v>
      </c>
      <c r="G452" s="17" t="s">
        <v>340</v>
      </c>
      <c r="H452" s="18">
        <v>0</v>
      </c>
      <c r="I452" s="18">
        <v>0</v>
      </c>
      <c r="J452" s="18">
        <v>0</v>
      </c>
    </row>
    <row r="453" spans="1:10" x14ac:dyDescent="0.25">
      <c r="A453" s="17">
        <v>201040214</v>
      </c>
      <c r="B453" s="17" t="s">
        <v>421</v>
      </c>
      <c r="C453" s="17" t="s">
        <v>94</v>
      </c>
      <c r="D453" s="17" t="str">
        <f t="shared" si="4"/>
        <v>7</v>
      </c>
      <c r="E453" s="17" t="s">
        <v>94</v>
      </c>
      <c r="F453" s="17">
        <v>8819</v>
      </c>
      <c r="G453" s="17" t="s">
        <v>341</v>
      </c>
      <c r="H453" s="18">
        <v>0</v>
      </c>
      <c r="I453" s="18">
        <v>0</v>
      </c>
      <c r="J453" s="18">
        <v>0</v>
      </c>
    </row>
    <row r="454" spans="1:10" x14ac:dyDescent="0.25">
      <c r="A454" s="17">
        <v>201040214</v>
      </c>
      <c r="B454" s="17" t="s">
        <v>421</v>
      </c>
      <c r="C454" s="17" t="s">
        <v>94</v>
      </c>
      <c r="D454" s="17" t="str">
        <f t="shared" si="4"/>
        <v>7</v>
      </c>
      <c r="E454" s="17" t="s">
        <v>94</v>
      </c>
      <c r="F454" s="17">
        <v>8820</v>
      </c>
      <c r="G454" s="17" t="s">
        <v>342</v>
      </c>
      <c r="H454" s="18">
        <v>0</v>
      </c>
      <c r="I454" s="18">
        <v>0</v>
      </c>
      <c r="J454" s="18">
        <v>0</v>
      </c>
    </row>
    <row r="455" spans="1:10" x14ac:dyDescent="0.25">
      <c r="A455" s="17">
        <v>201040214</v>
      </c>
      <c r="B455" s="17" t="s">
        <v>421</v>
      </c>
      <c r="C455" s="17" t="s">
        <v>94</v>
      </c>
      <c r="D455" s="17" t="str">
        <f t="shared" si="4"/>
        <v>7</v>
      </c>
      <c r="E455" s="17" t="s">
        <v>94</v>
      </c>
      <c r="F455" s="17">
        <v>8821</v>
      </c>
      <c r="G455" s="17" t="s">
        <v>343</v>
      </c>
      <c r="H455" s="18">
        <v>0</v>
      </c>
      <c r="I455" s="18">
        <v>0</v>
      </c>
      <c r="J455" s="18">
        <v>0</v>
      </c>
    </row>
    <row r="456" spans="1:10" x14ac:dyDescent="0.25">
      <c r="A456" s="17">
        <v>201040214</v>
      </c>
      <c r="B456" s="17" t="s">
        <v>421</v>
      </c>
      <c r="C456" s="17" t="s">
        <v>94</v>
      </c>
      <c r="D456" s="17" t="str">
        <f t="shared" si="4"/>
        <v>7</v>
      </c>
      <c r="E456" s="17" t="s">
        <v>94</v>
      </c>
      <c r="F456" s="17">
        <v>8823</v>
      </c>
      <c r="G456" s="17" t="s">
        <v>345</v>
      </c>
      <c r="H456" s="18">
        <v>0</v>
      </c>
      <c r="I456" s="18">
        <v>0</v>
      </c>
      <c r="J456" s="18">
        <v>0</v>
      </c>
    </row>
    <row r="457" spans="1:10" x14ac:dyDescent="0.25">
      <c r="A457" s="17">
        <v>201040214</v>
      </c>
      <c r="B457" s="17" t="s">
        <v>421</v>
      </c>
      <c r="C457" s="17" t="s">
        <v>94</v>
      </c>
      <c r="D457" s="17" t="str">
        <f t="shared" si="4"/>
        <v>7</v>
      </c>
      <c r="E457" s="17" t="s">
        <v>94</v>
      </c>
      <c r="F457" s="17">
        <v>8824</v>
      </c>
      <c r="G457" s="17" t="s">
        <v>346</v>
      </c>
      <c r="H457" s="18">
        <v>0</v>
      </c>
      <c r="I457" s="18">
        <v>0</v>
      </c>
      <c r="J457" s="18">
        <v>0</v>
      </c>
    </row>
    <row r="458" spans="1:10" x14ac:dyDescent="0.25">
      <c r="A458" s="17">
        <v>201040214</v>
      </c>
      <c r="B458" s="17" t="s">
        <v>421</v>
      </c>
      <c r="C458" s="17" t="s">
        <v>94</v>
      </c>
      <c r="D458" s="17" t="str">
        <f t="shared" ref="D458:D521" si="5">+MID(C458,5,1)</f>
        <v>7</v>
      </c>
      <c r="E458" s="17" t="s">
        <v>94</v>
      </c>
      <c r="F458" s="17">
        <v>8825</v>
      </c>
      <c r="G458" s="17" t="s">
        <v>347</v>
      </c>
      <c r="H458" s="18">
        <v>0</v>
      </c>
      <c r="I458" s="18">
        <v>0</v>
      </c>
      <c r="J458" s="18">
        <v>0</v>
      </c>
    </row>
    <row r="459" spans="1:10" x14ac:dyDescent="0.25">
      <c r="A459" s="17">
        <v>201040214</v>
      </c>
      <c r="B459" s="17" t="s">
        <v>421</v>
      </c>
      <c r="C459" s="17" t="s">
        <v>94</v>
      </c>
      <c r="D459" s="17" t="str">
        <f t="shared" si="5"/>
        <v>7</v>
      </c>
      <c r="E459" s="17" t="s">
        <v>94</v>
      </c>
      <c r="F459" s="17">
        <v>8826</v>
      </c>
      <c r="G459" s="17" t="s">
        <v>348</v>
      </c>
      <c r="H459" s="18">
        <v>0</v>
      </c>
      <c r="I459" s="18">
        <v>0</v>
      </c>
      <c r="J459" s="18">
        <v>0</v>
      </c>
    </row>
    <row r="460" spans="1:10" x14ac:dyDescent="0.25">
      <c r="A460" s="17">
        <v>201040214</v>
      </c>
      <c r="B460" s="17" t="s">
        <v>421</v>
      </c>
      <c r="C460" s="17" t="s">
        <v>94</v>
      </c>
      <c r="D460" s="17" t="str">
        <f t="shared" si="5"/>
        <v>7</v>
      </c>
      <c r="E460" s="17" t="s">
        <v>94</v>
      </c>
      <c r="F460" s="17">
        <v>8827</v>
      </c>
      <c r="G460" s="17" t="s">
        <v>349</v>
      </c>
      <c r="H460" s="18">
        <v>0</v>
      </c>
      <c r="I460" s="18">
        <v>0</v>
      </c>
      <c r="J460" s="18">
        <v>0</v>
      </c>
    </row>
    <row r="461" spans="1:10" x14ac:dyDescent="0.25">
      <c r="A461" s="17">
        <v>201040214</v>
      </c>
      <c r="B461" s="17" t="s">
        <v>421</v>
      </c>
      <c r="C461" s="17" t="s">
        <v>94</v>
      </c>
      <c r="D461" s="17" t="str">
        <f t="shared" si="5"/>
        <v>7</v>
      </c>
      <c r="E461" s="17" t="s">
        <v>94</v>
      </c>
      <c r="F461" s="17">
        <v>8829</v>
      </c>
      <c r="G461" s="17" t="s">
        <v>351</v>
      </c>
      <c r="H461" s="18">
        <v>0</v>
      </c>
      <c r="I461" s="18">
        <v>0</v>
      </c>
      <c r="J461" s="18">
        <v>0</v>
      </c>
    </row>
    <row r="462" spans="1:10" x14ac:dyDescent="0.25">
      <c r="A462" s="17">
        <v>201040214</v>
      </c>
      <c r="B462" s="17" t="s">
        <v>421</v>
      </c>
      <c r="C462" s="17" t="s">
        <v>94</v>
      </c>
      <c r="D462" s="17" t="str">
        <f t="shared" si="5"/>
        <v>7</v>
      </c>
      <c r="E462" s="17" t="s">
        <v>94</v>
      </c>
      <c r="F462" s="17">
        <v>8830</v>
      </c>
      <c r="G462" s="17" t="s">
        <v>352</v>
      </c>
      <c r="H462" s="18">
        <v>0</v>
      </c>
      <c r="I462" s="18">
        <v>0</v>
      </c>
      <c r="J462" s="18">
        <v>0</v>
      </c>
    </row>
    <row r="463" spans="1:10" x14ac:dyDescent="0.25">
      <c r="A463" s="17">
        <v>201040214</v>
      </c>
      <c r="B463" s="17" t="s">
        <v>421</v>
      </c>
      <c r="C463" s="17" t="s">
        <v>94</v>
      </c>
      <c r="D463" s="17" t="str">
        <f t="shared" si="5"/>
        <v>7</v>
      </c>
      <c r="E463" s="17" t="s">
        <v>94</v>
      </c>
      <c r="F463" s="17">
        <v>8831</v>
      </c>
      <c r="G463" s="17" t="s">
        <v>353</v>
      </c>
      <c r="H463" s="18">
        <v>0</v>
      </c>
      <c r="I463" s="18">
        <v>0</v>
      </c>
      <c r="J463" s="18">
        <v>0</v>
      </c>
    </row>
    <row r="464" spans="1:10" x14ac:dyDescent="0.25">
      <c r="A464" s="17">
        <v>201040214</v>
      </c>
      <c r="B464" s="17" t="s">
        <v>421</v>
      </c>
      <c r="C464" s="17" t="s">
        <v>94</v>
      </c>
      <c r="D464" s="17" t="str">
        <f t="shared" si="5"/>
        <v>7</v>
      </c>
      <c r="E464" s="17" t="s">
        <v>94</v>
      </c>
      <c r="F464" s="17">
        <v>8833</v>
      </c>
      <c r="G464" s="17" t="s">
        <v>355</v>
      </c>
      <c r="H464" s="18">
        <v>0</v>
      </c>
      <c r="I464" s="18">
        <v>0</v>
      </c>
      <c r="J464" s="18">
        <v>0</v>
      </c>
    </row>
    <row r="465" spans="1:10" x14ac:dyDescent="0.25">
      <c r="A465" s="17">
        <v>201040214</v>
      </c>
      <c r="B465" s="17" t="s">
        <v>421</v>
      </c>
      <c r="C465" s="17" t="s">
        <v>94</v>
      </c>
      <c r="D465" s="17" t="str">
        <f t="shared" si="5"/>
        <v>7</v>
      </c>
      <c r="E465" s="17" t="s">
        <v>94</v>
      </c>
      <c r="F465" s="17">
        <v>8849</v>
      </c>
      <c r="G465" s="17" t="s">
        <v>547</v>
      </c>
      <c r="H465" s="18">
        <v>0</v>
      </c>
      <c r="I465" s="18">
        <v>0</v>
      </c>
      <c r="J465" s="18">
        <v>0</v>
      </c>
    </row>
    <row r="466" spans="1:10" x14ac:dyDescent="0.25">
      <c r="A466" s="17">
        <v>201040214</v>
      </c>
      <c r="B466" s="17" t="s">
        <v>421</v>
      </c>
      <c r="C466" s="17" t="s">
        <v>94</v>
      </c>
      <c r="D466" s="17" t="str">
        <f t="shared" si="5"/>
        <v>7</v>
      </c>
      <c r="E466" s="17" t="s">
        <v>94</v>
      </c>
      <c r="F466" s="17">
        <v>8850</v>
      </c>
      <c r="G466" s="17" t="s">
        <v>548</v>
      </c>
      <c r="H466" s="18">
        <v>0</v>
      </c>
      <c r="I466" s="18">
        <v>0</v>
      </c>
      <c r="J466" s="18">
        <v>0</v>
      </c>
    </row>
    <row r="467" spans="1:10" x14ac:dyDescent="0.25">
      <c r="A467" s="17">
        <v>201040214</v>
      </c>
      <c r="B467" s="17" t="s">
        <v>421</v>
      </c>
      <c r="C467" s="17" t="s">
        <v>94</v>
      </c>
      <c r="D467" s="17" t="str">
        <f t="shared" si="5"/>
        <v>7</v>
      </c>
      <c r="E467" s="17" t="s">
        <v>94</v>
      </c>
      <c r="F467" s="17">
        <v>8851</v>
      </c>
      <c r="G467" s="17" t="s">
        <v>549</v>
      </c>
      <c r="H467" s="18">
        <v>0</v>
      </c>
      <c r="I467" s="18">
        <v>0</v>
      </c>
      <c r="J467" s="18">
        <v>0</v>
      </c>
    </row>
    <row r="468" spans="1:10" x14ac:dyDescent="0.25">
      <c r="A468" s="17">
        <v>201040214</v>
      </c>
      <c r="B468" s="17" t="s">
        <v>421</v>
      </c>
      <c r="C468" s="17" t="s">
        <v>94</v>
      </c>
      <c r="D468" s="17" t="str">
        <f t="shared" si="5"/>
        <v>7</v>
      </c>
      <c r="E468" s="17" t="s">
        <v>94</v>
      </c>
      <c r="F468" s="17">
        <v>8855</v>
      </c>
      <c r="G468" s="17" t="s">
        <v>550</v>
      </c>
      <c r="H468" s="18">
        <v>0</v>
      </c>
      <c r="I468" s="18">
        <v>0</v>
      </c>
      <c r="J468" s="18">
        <v>0</v>
      </c>
    </row>
    <row r="469" spans="1:10" x14ac:dyDescent="0.25">
      <c r="A469" s="17">
        <v>201040214</v>
      </c>
      <c r="B469" s="17" t="s">
        <v>421</v>
      </c>
      <c r="C469" s="17" t="s">
        <v>94</v>
      </c>
      <c r="D469" s="17" t="str">
        <f t="shared" si="5"/>
        <v>7</v>
      </c>
      <c r="E469" s="17" t="s">
        <v>94</v>
      </c>
      <c r="F469" s="17">
        <v>8856</v>
      </c>
      <c r="G469" s="17" t="s">
        <v>551</v>
      </c>
      <c r="H469" s="18">
        <v>0</v>
      </c>
      <c r="I469" s="18">
        <v>0</v>
      </c>
      <c r="J469" s="18">
        <v>0</v>
      </c>
    </row>
    <row r="470" spans="1:10" x14ac:dyDescent="0.25">
      <c r="A470" s="17">
        <v>201040214</v>
      </c>
      <c r="B470" s="17" t="s">
        <v>421</v>
      </c>
      <c r="C470" s="17" t="s">
        <v>118</v>
      </c>
      <c r="D470" s="17" t="str">
        <f t="shared" si="5"/>
        <v>8</v>
      </c>
      <c r="E470" s="17" t="s">
        <v>94</v>
      </c>
      <c r="F470" s="17">
        <v>8858</v>
      </c>
      <c r="G470" s="17" t="s">
        <v>552</v>
      </c>
      <c r="H470" s="18">
        <v>0</v>
      </c>
      <c r="I470" s="18">
        <v>0</v>
      </c>
      <c r="J470" s="18">
        <v>0</v>
      </c>
    </row>
    <row r="471" spans="1:10" x14ac:dyDescent="0.25">
      <c r="A471" s="17">
        <v>201040214</v>
      </c>
      <c r="B471" s="17" t="s">
        <v>421</v>
      </c>
      <c r="C471" s="17" t="s">
        <v>94</v>
      </c>
      <c r="D471" s="17" t="str">
        <f t="shared" si="5"/>
        <v>7</v>
      </c>
      <c r="E471" s="17" t="s">
        <v>94</v>
      </c>
      <c r="F471" s="17">
        <v>8859</v>
      </c>
      <c r="G471" s="17" t="s">
        <v>553</v>
      </c>
      <c r="H471" s="18">
        <v>0</v>
      </c>
      <c r="I471" s="18">
        <v>0</v>
      </c>
      <c r="J471" s="18">
        <v>0</v>
      </c>
    </row>
    <row r="472" spans="1:10" x14ac:dyDescent="0.25">
      <c r="A472" s="17">
        <v>201040214</v>
      </c>
      <c r="B472" s="17" t="s">
        <v>421</v>
      </c>
      <c r="C472" s="17" t="s">
        <v>94</v>
      </c>
      <c r="D472" s="17" t="str">
        <f t="shared" si="5"/>
        <v>7</v>
      </c>
      <c r="E472" s="17" t="s">
        <v>94</v>
      </c>
      <c r="F472" s="17">
        <v>8860</v>
      </c>
      <c r="G472" s="17" t="s">
        <v>554</v>
      </c>
      <c r="H472" s="18">
        <v>0</v>
      </c>
      <c r="I472" s="18">
        <v>0</v>
      </c>
      <c r="J472" s="18">
        <v>0</v>
      </c>
    </row>
    <row r="473" spans="1:10" x14ac:dyDescent="0.25">
      <c r="A473" s="17">
        <v>201040214</v>
      </c>
      <c r="B473" s="17" t="s">
        <v>421</v>
      </c>
      <c r="C473" s="17" t="s">
        <v>94</v>
      </c>
      <c r="D473" s="17" t="str">
        <f t="shared" si="5"/>
        <v>7</v>
      </c>
      <c r="E473" s="17" t="s">
        <v>94</v>
      </c>
      <c r="F473" s="17">
        <v>8862</v>
      </c>
      <c r="G473" s="17" t="s">
        <v>555</v>
      </c>
      <c r="H473" s="18">
        <v>0</v>
      </c>
      <c r="I473" s="18">
        <v>0</v>
      </c>
      <c r="J473" s="18">
        <v>0</v>
      </c>
    </row>
    <row r="474" spans="1:10" x14ac:dyDescent="0.25">
      <c r="A474" s="17">
        <v>201040214</v>
      </c>
      <c r="B474" s="17" t="s">
        <v>421</v>
      </c>
      <c r="C474" s="17" t="s">
        <v>94</v>
      </c>
      <c r="D474" s="17" t="str">
        <f t="shared" si="5"/>
        <v>7</v>
      </c>
      <c r="E474" s="17" t="s">
        <v>94</v>
      </c>
      <c r="F474" s="17">
        <v>8864</v>
      </c>
      <c r="G474" s="17" t="s">
        <v>556</v>
      </c>
      <c r="H474" s="18">
        <v>0</v>
      </c>
      <c r="I474" s="18">
        <v>0</v>
      </c>
      <c r="J474" s="18">
        <v>0</v>
      </c>
    </row>
    <row r="475" spans="1:10" x14ac:dyDescent="0.25">
      <c r="A475" s="17">
        <v>201040214</v>
      </c>
      <c r="B475" s="17" t="s">
        <v>421</v>
      </c>
      <c r="C475" s="17" t="s">
        <v>118</v>
      </c>
      <c r="D475" s="17" t="str">
        <f t="shared" si="5"/>
        <v>8</v>
      </c>
      <c r="E475" s="17" t="s">
        <v>94</v>
      </c>
      <c r="F475" s="17">
        <v>8884</v>
      </c>
      <c r="G475" s="17" t="s">
        <v>557</v>
      </c>
      <c r="H475" s="18">
        <v>0</v>
      </c>
      <c r="I475" s="18">
        <v>0</v>
      </c>
      <c r="J475" s="18">
        <v>0</v>
      </c>
    </row>
    <row r="476" spans="1:10" x14ac:dyDescent="0.25">
      <c r="A476" s="17">
        <v>201040214</v>
      </c>
      <c r="B476" s="17" t="s">
        <v>421</v>
      </c>
      <c r="C476" s="17" t="s">
        <v>94</v>
      </c>
      <c r="D476" s="17" t="str">
        <f t="shared" si="5"/>
        <v>7</v>
      </c>
      <c r="E476" s="17" t="s">
        <v>94</v>
      </c>
      <c r="F476" s="17">
        <v>8895</v>
      </c>
      <c r="G476" s="17" t="s">
        <v>558</v>
      </c>
      <c r="H476" s="18">
        <v>0</v>
      </c>
      <c r="I476" s="18">
        <v>0</v>
      </c>
      <c r="J476" s="18">
        <v>0</v>
      </c>
    </row>
    <row r="477" spans="1:10" x14ac:dyDescent="0.25">
      <c r="A477" s="17">
        <v>201040214</v>
      </c>
      <c r="B477" s="17" t="s">
        <v>421</v>
      </c>
      <c r="C477" s="17" t="s">
        <v>118</v>
      </c>
      <c r="D477" s="17" t="str">
        <f t="shared" si="5"/>
        <v>8</v>
      </c>
      <c r="E477" s="17" t="s">
        <v>94</v>
      </c>
      <c r="F477" s="17">
        <v>8897</v>
      </c>
      <c r="G477" s="17" t="s">
        <v>559</v>
      </c>
      <c r="H477" s="18">
        <v>0</v>
      </c>
      <c r="I477" s="18">
        <v>0</v>
      </c>
      <c r="J477" s="18">
        <v>0</v>
      </c>
    </row>
    <row r="478" spans="1:10" x14ac:dyDescent="0.25">
      <c r="A478" s="17">
        <v>201040214</v>
      </c>
      <c r="B478" s="17" t="s">
        <v>421</v>
      </c>
      <c r="C478" s="17" t="s">
        <v>94</v>
      </c>
      <c r="D478" s="17" t="str">
        <f t="shared" si="5"/>
        <v>7</v>
      </c>
      <c r="E478" s="17" t="s">
        <v>94</v>
      </c>
      <c r="F478" s="17">
        <v>8899</v>
      </c>
      <c r="G478" s="17" t="s">
        <v>560</v>
      </c>
      <c r="H478" s="18">
        <v>0</v>
      </c>
      <c r="I478" s="18">
        <v>0</v>
      </c>
      <c r="J478" s="18">
        <v>0</v>
      </c>
    </row>
    <row r="479" spans="1:10" x14ac:dyDescent="0.25">
      <c r="A479" s="17">
        <v>201040214</v>
      </c>
      <c r="B479" s="17" t="s">
        <v>421</v>
      </c>
      <c r="C479" s="17" t="s">
        <v>94</v>
      </c>
      <c r="D479" s="17" t="str">
        <f t="shared" si="5"/>
        <v>7</v>
      </c>
      <c r="E479" s="17" t="s">
        <v>94</v>
      </c>
      <c r="F479" s="17">
        <v>9014</v>
      </c>
      <c r="G479" s="17" t="s">
        <v>311</v>
      </c>
      <c r="H479" s="18">
        <v>0</v>
      </c>
      <c r="I479" s="18">
        <v>0</v>
      </c>
      <c r="J479" s="18">
        <v>0</v>
      </c>
    </row>
    <row r="480" spans="1:10" x14ac:dyDescent="0.25">
      <c r="A480" s="17">
        <v>201040214</v>
      </c>
      <c r="B480" s="17" t="s">
        <v>421</v>
      </c>
      <c r="C480" s="17" t="s">
        <v>94</v>
      </c>
      <c r="D480" s="17" t="str">
        <f t="shared" si="5"/>
        <v>7</v>
      </c>
      <c r="E480" s="17" t="s">
        <v>94</v>
      </c>
      <c r="F480" s="17">
        <v>9015</v>
      </c>
      <c r="G480" s="17" t="s">
        <v>311</v>
      </c>
      <c r="H480" s="18">
        <v>0</v>
      </c>
      <c r="I480" s="18">
        <v>0</v>
      </c>
      <c r="J480" s="18">
        <v>0</v>
      </c>
    </row>
    <row r="481" spans="1:10" x14ac:dyDescent="0.25">
      <c r="A481" s="17">
        <v>201040214</v>
      </c>
      <c r="B481" s="17" t="s">
        <v>421</v>
      </c>
      <c r="C481" s="17" t="s">
        <v>94</v>
      </c>
      <c r="D481" s="17" t="str">
        <f t="shared" si="5"/>
        <v>7</v>
      </c>
      <c r="E481" s="17" t="s">
        <v>94</v>
      </c>
      <c r="F481" s="17">
        <v>9016</v>
      </c>
      <c r="G481" s="17" t="s">
        <v>311</v>
      </c>
      <c r="H481" s="18">
        <v>0</v>
      </c>
      <c r="I481" s="18">
        <v>0</v>
      </c>
      <c r="J481" s="18">
        <v>0</v>
      </c>
    </row>
    <row r="482" spans="1:10" x14ac:dyDescent="0.25">
      <c r="A482" s="17">
        <v>201040214</v>
      </c>
      <c r="B482" s="17" t="s">
        <v>421</v>
      </c>
      <c r="C482" s="17" t="s">
        <v>94</v>
      </c>
      <c r="D482" s="17" t="str">
        <f t="shared" si="5"/>
        <v>7</v>
      </c>
      <c r="E482" s="17" t="s">
        <v>94</v>
      </c>
      <c r="F482" s="17">
        <v>9017</v>
      </c>
      <c r="G482" s="17" t="s">
        <v>351</v>
      </c>
      <c r="H482" s="18">
        <v>0</v>
      </c>
      <c r="I482" s="18">
        <v>0</v>
      </c>
      <c r="J482" s="18">
        <v>0</v>
      </c>
    </row>
    <row r="483" spans="1:10" x14ac:dyDescent="0.25">
      <c r="A483" s="17">
        <v>201040214</v>
      </c>
      <c r="B483" s="17" t="s">
        <v>421</v>
      </c>
      <c r="C483" s="17" t="s">
        <v>94</v>
      </c>
      <c r="D483" s="17" t="str">
        <f t="shared" si="5"/>
        <v>7</v>
      </c>
      <c r="E483" s="17" t="s">
        <v>94</v>
      </c>
      <c r="F483" s="17">
        <v>9018</v>
      </c>
      <c r="G483" s="17" t="s">
        <v>352</v>
      </c>
      <c r="H483" s="18">
        <v>0</v>
      </c>
      <c r="I483" s="18">
        <v>0</v>
      </c>
      <c r="J483" s="18">
        <v>0</v>
      </c>
    </row>
    <row r="484" spans="1:10" x14ac:dyDescent="0.25">
      <c r="A484" s="17">
        <v>201040214</v>
      </c>
      <c r="B484" s="17" t="s">
        <v>421</v>
      </c>
      <c r="C484" s="17" t="s">
        <v>94</v>
      </c>
      <c r="D484" s="17" t="str">
        <f t="shared" si="5"/>
        <v>7</v>
      </c>
      <c r="E484" s="17" t="s">
        <v>94</v>
      </c>
      <c r="F484" s="17">
        <v>9019</v>
      </c>
      <c r="G484" s="17" t="s">
        <v>347</v>
      </c>
      <c r="H484" s="18">
        <v>0</v>
      </c>
      <c r="I484" s="18">
        <v>0</v>
      </c>
      <c r="J484" s="18">
        <v>0</v>
      </c>
    </row>
    <row r="485" spans="1:10" x14ac:dyDescent="0.25">
      <c r="A485" s="17">
        <v>201040214</v>
      </c>
      <c r="B485" s="17" t="s">
        <v>421</v>
      </c>
      <c r="C485" s="17" t="s">
        <v>94</v>
      </c>
      <c r="D485" s="17" t="str">
        <f t="shared" si="5"/>
        <v>7</v>
      </c>
      <c r="E485" s="17" t="s">
        <v>94</v>
      </c>
      <c r="F485" s="17">
        <v>9020</v>
      </c>
      <c r="G485" s="17" t="s">
        <v>311</v>
      </c>
      <c r="H485" s="18">
        <v>0</v>
      </c>
      <c r="I485" s="18">
        <v>0</v>
      </c>
      <c r="J485" s="18">
        <v>0</v>
      </c>
    </row>
    <row r="486" spans="1:10" x14ac:dyDescent="0.25">
      <c r="A486" s="17">
        <v>201040214</v>
      </c>
      <c r="B486" s="17" t="s">
        <v>421</v>
      </c>
      <c r="C486" s="17" t="s">
        <v>94</v>
      </c>
      <c r="D486" s="17" t="str">
        <f t="shared" si="5"/>
        <v>7</v>
      </c>
      <c r="E486" s="17" t="s">
        <v>94</v>
      </c>
      <c r="F486" s="17">
        <v>9021</v>
      </c>
      <c r="G486" s="17" t="s">
        <v>347</v>
      </c>
      <c r="H486" s="18">
        <v>0</v>
      </c>
      <c r="I486" s="18">
        <v>0</v>
      </c>
      <c r="J486" s="18">
        <v>0</v>
      </c>
    </row>
    <row r="487" spans="1:10" x14ac:dyDescent="0.25">
      <c r="A487" s="17">
        <v>201040214</v>
      </c>
      <c r="B487" s="17" t="s">
        <v>421</v>
      </c>
      <c r="C487" s="17" t="s">
        <v>94</v>
      </c>
      <c r="D487" s="17" t="str">
        <f t="shared" si="5"/>
        <v>7</v>
      </c>
      <c r="E487" s="17" t="s">
        <v>94</v>
      </c>
      <c r="F487" s="17">
        <v>9022</v>
      </c>
      <c r="G487" s="17" t="s">
        <v>311</v>
      </c>
      <c r="H487" s="18">
        <v>0</v>
      </c>
      <c r="I487" s="18">
        <v>0</v>
      </c>
      <c r="J487" s="18">
        <v>0</v>
      </c>
    </row>
    <row r="488" spans="1:10" x14ac:dyDescent="0.25">
      <c r="A488" s="17">
        <v>201040214</v>
      </c>
      <c r="B488" s="17" t="s">
        <v>421</v>
      </c>
      <c r="C488" s="17" t="s">
        <v>94</v>
      </c>
      <c r="D488" s="17" t="str">
        <f t="shared" si="5"/>
        <v>7</v>
      </c>
      <c r="E488" s="17" t="s">
        <v>94</v>
      </c>
      <c r="F488" s="17">
        <v>9023</v>
      </c>
      <c r="G488" s="17" t="s">
        <v>351</v>
      </c>
      <c r="H488" s="18">
        <v>0</v>
      </c>
      <c r="I488" s="18">
        <v>0</v>
      </c>
      <c r="J488" s="18">
        <v>0</v>
      </c>
    </row>
    <row r="489" spans="1:10" x14ac:dyDescent="0.25">
      <c r="A489" s="17">
        <v>201040214</v>
      </c>
      <c r="B489" s="17" t="s">
        <v>421</v>
      </c>
      <c r="C489" s="17" t="s">
        <v>94</v>
      </c>
      <c r="D489" s="17" t="str">
        <f t="shared" si="5"/>
        <v>7</v>
      </c>
      <c r="E489" s="17" t="s">
        <v>94</v>
      </c>
      <c r="F489" s="17">
        <v>9024</v>
      </c>
      <c r="G489" s="17" t="s">
        <v>311</v>
      </c>
      <c r="H489" s="18">
        <v>0</v>
      </c>
      <c r="I489" s="18">
        <v>0</v>
      </c>
      <c r="J489" s="18">
        <v>0</v>
      </c>
    </row>
    <row r="490" spans="1:10" x14ac:dyDescent="0.25">
      <c r="A490" s="17">
        <v>201040214</v>
      </c>
      <c r="B490" s="17" t="s">
        <v>421</v>
      </c>
      <c r="C490" s="17" t="s">
        <v>94</v>
      </c>
      <c r="D490" s="17" t="str">
        <f t="shared" si="5"/>
        <v>7</v>
      </c>
      <c r="E490" s="17" t="s">
        <v>94</v>
      </c>
      <c r="F490" s="17">
        <v>9025</v>
      </c>
      <c r="G490" s="17" t="s">
        <v>352</v>
      </c>
      <c r="H490" s="18">
        <v>0</v>
      </c>
      <c r="I490" s="18">
        <v>0</v>
      </c>
      <c r="J490" s="18">
        <v>0</v>
      </c>
    </row>
    <row r="491" spans="1:10" x14ac:dyDescent="0.25">
      <c r="A491" s="17">
        <v>201040214</v>
      </c>
      <c r="B491" s="17" t="s">
        <v>421</v>
      </c>
      <c r="C491" s="17" t="s">
        <v>160</v>
      </c>
      <c r="D491" s="17" t="str">
        <f t="shared" si="5"/>
        <v>7</v>
      </c>
      <c r="E491" s="17" t="s">
        <v>160</v>
      </c>
      <c r="F491" s="17">
        <v>8801</v>
      </c>
      <c r="G491" s="17" t="s">
        <v>233</v>
      </c>
      <c r="H491" s="18">
        <v>0</v>
      </c>
      <c r="I491" s="18">
        <v>0</v>
      </c>
      <c r="J491" s="18">
        <v>0</v>
      </c>
    </row>
    <row r="492" spans="1:10" x14ac:dyDescent="0.25">
      <c r="A492" s="17">
        <v>201040214</v>
      </c>
      <c r="B492" s="17" t="s">
        <v>421</v>
      </c>
      <c r="C492" s="17" t="s">
        <v>160</v>
      </c>
      <c r="D492" s="17" t="str">
        <f t="shared" si="5"/>
        <v>7</v>
      </c>
      <c r="E492" s="17" t="s">
        <v>160</v>
      </c>
      <c r="F492" s="17">
        <v>8802</v>
      </c>
      <c r="G492" s="17" t="s">
        <v>229</v>
      </c>
      <c r="H492" s="18">
        <v>0</v>
      </c>
      <c r="I492" s="18">
        <v>0</v>
      </c>
      <c r="J492" s="18">
        <v>0</v>
      </c>
    </row>
    <row r="493" spans="1:10" x14ac:dyDescent="0.25">
      <c r="A493" s="17">
        <v>201040214</v>
      </c>
      <c r="B493" s="17" t="s">
        <v>421</v>
      </c>
      <c r="C493" s="17" t="s">
        <v>240</v>
      </c>
      <c r="D493" s="17" t="str">
        <f t="shared" si="5"/>
        <v>8</v>
      </c>
      <c r="E493" s="17" t="s">
        <v>169</v>
      </c>
      <c r="F493" s="17">
        <v>8869</v>
      </c>
      <c r="G493" s="17" t="s">
        <v>561</v>
      </c>
      <c r="H493" s="18">
        <v>0</v>
      </c>
      <c r="I493" s="18">
        <v>0</v>
      </c>
      <c r="J493" s="18">
        <v>0</v>
      </c>
    </row>
    <row r="494" spans="1:10" x14ac:dyDescent="0.25">
      <c r="A494" s="17">
        <v>201040214</v>
      </c>
      <c r="B494" s="17" t="s">
        <v>421</v>
      </c>
      <c r="C494" s="17" t="s">
        <v>162</v>
      </c>
      <c r="D494" s="17" t="str">
        <f t="shared" si="5"/>
        <v>8</v>
      </c>
      <c r="E494" s="17" t="s">
        <v>331</v>
      </c>
      <c r="F494" s="17">
        <v>8870</v>
      </c>
      <c r="G494" s="17" t="s">
        <v>562</v>
      </c>
      <c r="H494" s="18">
        <v>0</v>
      </c>
      <c r="I494" s="18">
        <v>0</v>
      </c>
      <c r="J494" s="18">
        <v>0</v>
      </c>
    </row>
    <row r="495" spans="1:10" x14ac:dyDescent="0.25">
      <c r="A495" s="17">
        <v>201040214</v>
      </c>
      <c r="B495" s="17" t="s">
        <v>421</v>
      </c>
      <c r="C495" s="17" t="s">
        <v>331</v>
      </c>
      <c r="D495" s="17" t="str">
        <f t="shared" si="5"/>
        <v>7</v>
      </c>
      <c r="E495" s="17" t="s">
        <v>331</v>
      </c>
      <c r="F495" s="17">
        <v>8960</v>
      </c>
      <c r="G495" s="17" t="s">
        <v>563</v>
      </c>
      <c r="H495" s="18">
        <v>0</v>
      </c>
      <c r="I495" s="18">
        <v>0</v>
      </c>
      <c r="J495" s="18">
        <v>0</v>
      </c>
    </row>
    <row r="496" spans="1:10" x14ac:dyDescent="0.25">
      <c r="A496" s="17">
        <v>201040214</v>
      </c>
      <c r="B496" s="17" t="s">
        <v>421</v>
      </c>
      <c r="C496" s="17" t="s">
        <v>331</v>
      </c>
      <c r="D496" s="17" t="str">
        <f t="shared" si="5"/>
        <v>7</v>
      </c>
      <c r="E496" s="17" t="s">
        <v>331</v>
      </c>
      <c r="F496" s="17">
        <v>8961</v>
      </c>
      <c r="G496" s="17" t="s">
        <v>564</v>
      </c>
      <c r="H496" s="18">
        <v>0</v>
      </c>
      <c r="I496" s="18">
        <v>0</v>
      </c>
      <c r="J496" s="18">
        <v>0</v>
      </c>
    </row>
    <row r="497" spans="1:10" x14ac:dyDescent="0.25">
      <c r="A497" s="17">
        <v>201040214</v>
      </c>
      <c r="B497" s="17" t="s">
        <v>421</v>
      </c>
      <c r="C497" s="17" t="s">
        <v>331</v>
      </c>
      <c r="D497" s="17" t="str">
        <f t="shared" si="5"/>
        <v>7</v>
      </c>
      <c r="E497" s="17" t="s">
        <v>331</v>
      </c>
      <c r="F497" s="17">
        <v>8962</v>
      </c>
      <c r="G497" s="17" t="s">
        <v>565</v>
      </c>
      <c r="H497" s="18">
        <v>0</v>
      </c>
      <c r="I497" s="18">
        <v>0</v>
      </c>
      <c r="J497" s="18">
        <v>0</v>
      </c>
    </row>
    <row r="498" spans="1:10" x14ac:dyDescent="0.25">
      <c r="A498" s="17">
        <v>201040214</v>
      </c>
      <c r="B498" s="17" t="s">
        <v>421</v>
      </c>
      <c r="C498" s="17" t="s">
        <v>331</v>
      </c>
      <c r="D498" s="17" t="str">
        <f t="shared" si="5"/>
        <v>7</v>
      </c>
      <c r="E498" s="17" t="s">
        <v>331</v>
      </c>
      <c r="F498" s="17">
        <v>8964</v>
      </c>
      <c r="G498" s="17" t="s">
        <v>566</v>
      </c>
      <c r="H498" s="18">
        <v>0</v>
      </c>
      <c r="I498" s="18">
        <v>0</v>
      </c>
      <c r="J498" s="18">
        <v>0</v>
      </c>
    </row>
    <row r="499" spans="1:10" x14ac:dyDescent="0.25">
      <c r="A499" s="17">
        <v>201040214</v>
      </c>
      <c r="B499" s="17" t="s">
        <v>421</v>
      </c>
      <c r="C499" s="17" t="s">
        <v>361</v>
      </c>
      <c r="D499" s="17" t="str">
        <f t="shared" si="5"/>
        <v>7</v>
      </c>
      <c r="E499" s="17" t="s">
        <v>361</v>
      </c>
      <c r="F499" s="17">
        <v>8803</v>
      </c>
      <c r="G499" s="17" t="s">
        <v>567</v>
      </c>
      <c r="H499" s="18">
        <v>0</v>
      </c>
      <c r="I499" s="18">
        <v>0</v>
      </c>
      <c r="J499" s="18">
        <v>0</v>
      </c>
    </row>
    <row r="500" spans="1:10" x14ac:dyDescent="0.25">
      <c r="A500" s="17">
        <v>201040214</v>
      </c>
      <c r="B500" s="17" t="s">
        <v>421</v>
      </c>
      <c r="C500" s="17" t="s">
        <v>361</v>
      </c>
      <c r="D500" s="17" t="str">
        <f t="shared" si="5"/>
        <v>7</v>
      </c>
      <c r="E500" s="17" t="s">
        <v>361</v>
      </c>
      <c r="F500" s="17">
        <v>8868</v>
      </c>
      <c r="G500" s="17" t="s">
        <v>362</v>
      </c>
      <c r="H500" s="18">
        <v>0</v>
      </c>
      <c r="I500" s="18">
        <v>0</v>
      </c>
      <c r="J500" s="18">
        <v>0</v>
      </c>
    </row>
    <row r="501" spans="1:10" x14ac:dyDescent="0.25">
      <c r="A501" s="17">
        <v>201040214</v>
      </c>
      <c r="B501" s="17" t="s">
        <v>421</v>
      </c>
      <c r="C501" s="17" t="s">
        <v>361</v>
      </c>
      <c r="D501" s="17" t="str">
        <f t="shared" si="5"/>
        <v>7</v>
      </c>
      <c r="E501" s="17" t="s">
        <v>361</v>
      </c>
      <c r="F501" s="17">
        <v>8873</v>
      </c>
      <c r="G501" s="17" t="s">
        <v>568</v>
      </c>
      <c r="H501" s="18">
        <v>0</v>
      </c>
      <c r="I501" s="18">
        <v>0</v>
      </c>
      <c r="J501" s="18">
        <v>0</v>
      </c>
    </row>
    <row r="502" spans="1:10" x14ac:dyDescent="0.25">
      <c r="A502" s="17">
        <v>201040214</v>
      </c>
      <c r="B502" s="17" t="s">
        <v>421</v>
      </c>
      <c r="C502" s="17" t="s">
        <v>361</v>
      </c>
      <c r="D502" s="17" t="str">
        <f t="shared" si="5"/>
        <v>7</v>
      </c>
      <c r="E502" s="17" t="s">
        <v>361</v>
      </c>
      <c r="F502" s="17">
        <v>8874</v>
      </c>
      <c r="G502" s="17" t="s">
        <v>569</v>
      </c>
      <c r="H502" s="18">
        <v>0</v>
      </c>
      <c r="I502" s="18">
        <v>0</v>
      </c>
      <c r="J502" s="18">
        <v>0</v>
      </c>
    </row>
    <row r="503" spans="1:10" x14ac:dyDescent="0.25">
      <c r="A503" s="17">
        <v>201040214</v>
      </c>
      <c r="B503" s="17" t="s">
        <v>421</v>
      </c>
      <c r="C503" s="17" t="s">
        <v>361</v>
      </c>
      <c r="D503" s="17" t="str">
        <f t="shared" si="5"/>
        <v>7</v>
      </c>
      <c r="E503" s="17" t="s">
        <v>361</v>
      </c>
      <c r="F503" s="17">
        <v>8875</v>
      </c>
      <c r="G503" s="17" t="s">
        <v>570</v>
      </c>
      <c r="H503" s="18">
        <v>0</v>
      </c>
      <c r="I503" s="18">
        <v>0</v>
      </c>
      <c r="J503" s="18">
        <v>0</v>
      </c>
    </row>
    <row r="504" spans="1:10" x14ac:dyDescent="0.25">
      <c r="A504" s="17">
        <v>201040214</v>
      </c>
      <c r="B504" s="17" t="s">
        <v>421</v>
      </c>
      <c r="C504" s="17" t="s">
        <v>134</v>
      </c>
      <c r="D504" s="17" t="str">
        <f t="shared" si="5"/>
        <v>7</v>
      </c>
      <c r="E504" s="17" t="s">
        <v>363</v>
      </c>
      <c r="F504" s="17">
        <v>8806</v>
      </c>
      <c r="G504" s="17" t="s">
        <v>364</v>
      </c>
      <c r="H504" s="18">
        <v>0</v>
      </c>
      <c r="I504" s="18">
        <v>0</v>
      </c>
      <c r="J504" s="18">
        <v>0</v>
      </c>
    </row>
    <row r="505" spans="1:10" x14ac:dyDescent="0.25">
      <c r="A505" s="17">
        <v>201040214</v>
      </c>
      <c r="B505" s="17" t="s">
        <v>421</v>
      </c>
      <c r="C505" s="17" t="s">
        <v>134</v>
      </c>
      <c r="D505" s="17" t="str">
        <f t="shared" si="5"/>
        <v>7</v>
      </c>
      <c r="E505" s="17" t="s">
        <v>134</v>
      </c>
      <c r="F505" s="17">
        <v>8871</v>
      </c>
      <c r="G505" s="17" t="s">
        <v>571</v>
      </c>
      <c r="H505" s="18">
        <v>0</v>
      </c>
      <c r="I505" s="18">
        <v>0</v>
      </c>
      <c r="J505" s="18">
        <v>0</v>
      </c>
    </row>
    <row r="506" spans="1:10" x14ac:dyDescent="0.25">
      <c r="A506" s="17">
        <v>201040214</v>
      </c>
      <c r="B506" s="17" t="s">
        <v>421</v>
      </c>
      <c r="C506" s="17" t="s">
        <v>134</v>
      </c>
      <c r="D506" s="17" t="str">
        <f t="shared" si="5"/>
        <v>7</v>
      </c>
      <c r="E506" s="17" t="s">
        <v>134</v>
      </c>
      <c r="F506" s="17">
        <v>8872</v>
      </c>
      <c r="G506" s="17" t="s">
        <v>572</v>
      </c>
      <c r="H506" s="18">
        <v>0</v>
      </c>
      <c r="I506" s="18">
        <v>0</v>
      </c>
      <c r="J506" s="18">
        <v>0</v>
      </c>
    </row>
    <row r="507" spans="1:10" x14ac:dyDescent="0.25">
      <c r="A507" s="17">
        <v>201040214</v>
      </c>
      <c r="B507" s="17" t="s">
        <v>421</v>
      </c>
      <c r="C507" s="17" t="s">
        <v>134</v>
      </c>
      <c r="D507" s="17" t="str">
        <f t="shared" si="5"/>
        <v>7</v>
      </c>
      <c r="E507" s="17" t="s">
        <v>134</v>
      </c>
      <c r="F507" s="17">
        <v>8903</v>
      </c>
      <c r="G507" s="17" t="s">
        <v>190</v>
      </c>
      <c r="H507" s="18">
        <v>0</v>
      </c>
      <c r="I507" s="18">
        <v>0</v>
      </c>
      <c r="J507" s="18">
        <v>0</v>
      </c>
    </row>
    <row r="508" spans="1:10" x14ac:dyDescent="0.25">
      <c r="A508" s="17">
        <v>201040214</v>
      </c>
      <c r="B508" s="17" t="s">
        <v>421</v>
      </c>
      <c r="C508" s="17" t="s">
        <v>134</v>
      </c>
      <c r="D508" s="17" t="str">
        <f t="shared" si="5"/>
        <v>7</v>
      </c>
      <c r="E508" s="17" t="s">
        <v>134</v>
      </c>
      <c r="F508" s="17">
        <v>8904</v>
      </c>
      <c r="G508" s="17" t="s">
        <v>573</v>
      </c>
      <c r="H508" s="18">
        <v>0</v>
      </c>
      <c r="I508" s="18">
        <v>0</v>
      </c>
      <c r="J508" s="18">
        <v>0</v>
      </c>
    </row>
    <row r="509" spans="1:10" x14ac:dyDescent="0.25">
      <c r="A509" s="17">
        <v>201040214</v>
      </c>
      <c r="B509" s="17" t="s">
        <v>421</v>
      </c>
      <c r="C509" s="17" t="s">
        <v>116</v>
      </c>
      <c r="D509" s="17" t="str">
        <f t="shared" si="5"/>
        <v>8</v>
      </c>
      <c r="E509" s="17" t="s">
        <v>538</v>
      </c>
      <c r="F509" s="17">
        <v>8814</v>
      </c>
      <c r="G509" s="17" t="s">
        <v>574</v>
      </c>
      <c r="H509" s="18">
        <v>0</v>
      </c>
      <c r="I509" s="18">
        <v>0</v>
      </c>
      <c r="J509" s="18">
        <v>0</v>
      </c>
    </row>
    <row r="510" spans="1:10" x14ac:dyDescent="0.25">
      <c r="A510" s="17">
        <v>201040214</v>
      </c>
      <c r="B510" s="17" t="s">
        <v>421</v>
      </c>
      <c r="C510" s="17" t="s">
        <v>116</v>
      </c>
      <c r="D510" s="17" t="str">
        <f t="shared" si="5"/>
        <v>8</v>
      </c>
      <c r="E510" s="17" t="s">
        <v>117</v>
      </c>
      <c r="F510" s="17">
        <v>8866</v>
      </c>
      <c r="G510" s="17" t="s">
        <v>575</v>
      </c>
      <c r="H510" s="18">
        <v>0</v>
      </c>
      <c r="I510" s="18">
        <v>0</v>
      </c>
      <c r="J510" s="18">
        <v>0</v>
      </c>
    </row>
    <row r="511" spans="1:10" x14ac:dyDescent="0.25">
      <c r="A511" s="17">
        <v>201040214</v>
      </c>
      <c r="B511" s="17" t="s">
        <v>421</v>
      </c>
      <c r="C511" s="17" t="s">
        <v>95</v>
      </c>
      <c r="D511" s="17" t="str">
        <f t="shared" si="5"/>
        <v>7</v>
      </c>
      <c r="E511" s="17" t="s">
        <v>95</v>
      </c>
      <c r="F511" s="17">
        <v>8965</v>
      </c>
      <c r="G511" s="17" t="s">
        <v>576</v>
      </c>
      <c r="H511" s="18">
        <v>0</v>
      </c>
      <c r="I511" s="18">
        <v>0</v>
      </c>
      <c r="J511" s="18">
        <v>0</v>
      </c>
    </row>
    <row r="512" spans="1:10" x14ac:dyDescent="0.25">
      <c r="A512" s="17">
        <v>201040214</v>
      </c>
      <c r="B512" s="17" t="s">
        <v>421</v>
      </c>
      <c r="C512" s="17" t="s">
        <v>95</v>
      </c>
      <c r="D512" s="17" t="str">
        <f t="shared" si="5"/>
        <v>7</v>
      </c>
      <c r="E512" s="17" t="s">
        <v>95</v>
      </c>
      <c r="F512" s="17">
        <v>9063</v>
      </c>
      <c r="G512" s="17" t="s">
        <v>577</v>
      </c>
      <c r="H512" s="18">
        <v>0</v>
      </c>
      <c r="I512" s="18">
        <v>0</v>
      </c>
      <c r="J512" s="18">
        <v>0</v>
      </c>
    </row>
    <row r="513" spans="1:10" x14ac:dyDescent="0.25">
      <c r="A513" s="17">
        <v>201040214</v>
      </c>
      <c r="B513" s="17" t="s">
        <v>421</v>
      </c>
      <c r="C513" s="17" t="s">
        <v>95</v>
      </c>
      <c r="D513" s="17" t="str">
        <f t="shared" si="5"/>
        <v>7</v>
      </c>
      <c r="E513" s="17" t="s">
        <v>95</v>
      </c>
      <c r="F513" s="17">
        <v>9072</v>
      </c>
      <c r="G513" s="17" t="s">
        <v>509</v>
      </c>
      <c r="H513" s="18">
        <v>0</v>
      </c>
      <c r="I513" s="18">
        <v>0</v>
      </c>
      <c r="J513" s="18">
        <v>0</v>
      </c>
    </row>
    <row r="514" spans="1:10" x14ac:dyDescent="0.25">
      <c r="A514" s="17">
        <v>201040214</v>
      </c>
      <c r="B514" s="17" t="s">
        <v>421</v>
      </c>
      <c r="C514" s="17" t="s">
        <v>366</v>
      </c>
      <c r="D514" s="17" t="str">
        <f t="shared" si="5"/>
        <v>7</v>
      </c>
      <c r="E514" s="17" t="s">
        <v>366</v>
      </c>
      <c r="F514" s="17">
        <v>8807</v>
      </c>
      <c r="G514" s="17" t="s">
        <v>578</v>
      </c>
      <c r="H514" s="18">
        <v>0</v>
      </c>
      <c r="I514" s="18">
        <v>0</v>
      </c>
      <c r="J514" s="18">
        <v>0</v>
      </c>
    </row>
    <row r="515" spans="1:10" x14ac:dyDescent="0.25">
      <c r="A515" s="17">
        <v>201040214</v>
      </c>
      <c r="B515" s="17" t="s">
        <v>421</v>
      </c>
      <c r="C515" s="17" t="s">
        <v>366</v>
      </c>
      <c r="D515" s="17" t="str">
        <f t="shared" si="5"/>
        <v>7</v>
      </c>
      <c r="E515" s="17" t="s">
        <v>366</v>
      </c>
      <c r="F515" s="17">
        <v>8808</v>
      </c>
      <c r="G515" s="17" t="s">
        <v>579</v>
      </c>
      <c r="H515" s="18">
        <v>0</v>
      </c>
      <c r="I515" s="18">
        <v>0</v>
      </c>
      <c r="J515" s="18">
        <v>0</v>
      </c>
    </row>
    <row r="516" spans="1:10" x14ac:dyDescent="0.25">
      <c r="A516" s="17">
        <v>201040214</v>
      </c>
      <c r="B516" s="17" t="s">
        <v>421</v>
      </c>
      <c r="C516" s="17" t="s">
        <v>366</v>
      </c>
      <c r="D516" s="17" t="str">
        <f t="shared" si="5"/>
        <v>7</v>
      </c>
      <c r="E516" s="17" t="s">
        <v>366</v>
      </c>
      <c r="F516" s="17">
        <v>8837</v>
      </c>
      <c r="G516" s="17" t="s">
        <v>368</v>
      </c>
      <c r="H516" s="18">
        <v>0</v>
      </c>
      <c r="I516" s="18">
        <v>0</v>
      </c>
      <c r="J516" s="18">
        <v>0</v>
      </c>
    </row>
    <row r="517" spans="1:10" x14ac:dyDescent="0.25">
      <c r="A517" s="17">
        <v>201040214</v>
      </c>
      <c r="B517" s="17" t="s">
        <v>421</v>
      </c>
      <c r="C517" s="17" t="s">
        <v>366</v>
      </c>
      <c r="D517" s="17" t="str">
        <f t="shared" si="5"/>
        <v>7</v>
      </c>
      <c r="E517" s="17" t="s">
        <v>366</v>
      </c>
      <c r="F517" s="17">
        <v>8838</v>
      </c>
      <c r="G517" s="17" t="s">
        <v>369</v>
      </c>
      <c r="H517" s="18">
        <v>0</v>
      </c>
      <c r="I517" s="18">
        <v>0</v>
      </c>
      <c r="J517" s="18">
        <v>0</v>
      </c>
    </row>
    <row r="518" spans="1:10" x14ac:dyDescent="0.25">
      <c r="A518" s="17">
        <v>201040214</v>
      </c>
      <c r="B518" s="17" t="s">
        <v>421</v>
      </c>
      <c r="C518" s="17" t="s">
        <v>366</v>
      </c>
      <c r="D518" s="17" t="str">
        <f t="shared" si="5"/>
        <v>7</v>
      </c>
      <c r="E518" s="17" t="s">
        <v>366</v>
      </c>
      <c r="F518" s="17">
        <v>8839</v>
      </c>
      <c r="G518" s="17" t="s">
        <v>370</v>
      </c>
      <c r="H518" s="18">
        <v>0</v>
      </c>
      <c r="I518" s="18">
        <v>0</v>
      </c>
      <c r="J518" s="18">
        <v>0</v>
      </c>
    </row>
    <row r="519" spans="1:10" x14ac:dyDescent="0.25">
      <c r="A519" s="17">
        <v>201040214</v>
      </c>
      <c r="B519" s="17" t="s">
        <v>421</v>
      </c>
      <c r="C519" s="17" t="s">
        <v>366</v>
      </c>
      <c r="D519" s="17" t="str">
        <f t="shared" si="5"/>
        <v>7</v>
      </c>
      <c r="E519" s="17" t="s">
        <v>366</v>
      </c>
      <c r="F519" s="17">
        <v>8840</v>
      </c>
      <c r="G519" s="17" t="s">
        <v>371</v>
      </c>
      <c r="H519" s="18">
        <v>0</v>
      </c>
      <c r="I519" s="18">
        <v>0</v>
      </c>
      <c r="J519" s="18">
        <v>0</v>
      </c>
    </row>
    <row r="520" spans="1:10" x14ac:dyDescent="0.25">
      <c r="A520" s="17">
        <v>201040214</v>
      </c>
      <c r="B520" s="17" t="s">
        <v>421</v>
      </c>
      <c r="C520" s="17" t="s">
        <v>366</v>
      </c>
      <c r="D520" s="17" t="str">
        <f t="shared" si="5"/>
        <v>7</v>
      </c>
      <c r="E520" s="17" t="s">
        <v>366</v>
      </c>
      <c r="F520" s="17">
        <v>8843</v>
      </c>
      <c r="G520" s="17" t="s">
        <v>374</v>
      </c>
      <c r="H520" s="18">
        <v>0</v>
      </c>
      <c r="I520" s="18">
        <v>0</v>
      </c>
      <c r="J520" s="18">
        <v>0</v>
      </c>
    </row>
    <row r="521" spans="1:10" x14ac:dyDescent="0.25">
      <c r="A521" s="17">
        <v>201040214</v>
      </c>
      <c r="B521" s="17" t="s">
        <v>421</v>
      </c>
      <c r="C521" s="17" t="s">
        <v>366</v>
      </c>
      <c r="D521" s="17" t="str">
        <f t="shared" si="5"/>
        <v>7</v>
      </c>
      <c r="E521" s="17" t="s">
        <v>366</v>
      </c>
      <c r="F521" s="17">
        <v>8844</v>
      </c>
      <c r="G521" s="17" t="s">
        <v>375</v>
      </c>
      <c r="H521" s="18">
        <v>0</v>
      </c>
      <c r="I521" s="18">
        <v>0</v>
      </c>
      <c r="J521" s="18">
        <v>0</v>
      </c>
    </row>
    <row r="522" spans="1:10" x14ac:dyDescent="0.25">
      <c r="A522" s="17">
        <v>201040214</v>
      </c>
      <c r="B522" s="17" t="s">
        <v>421</v>
      </c>
      <c r="C522" s="17" t="s">
        <v>366</v>
      </c>
      <c r="D522" s="17" t="str">
        <f t="shared" ref="D522:D585" si="6">+MID(C522,5,1)</f>
        <v>7</v>
      </c>
      <c r="E522" s="17" t="s">
        <v>366</v>
      </c>
      <c r="F522" s="17">
        <v>8845</v>
      </c>
      <c r="G522" s="17" t="s">
        <v>376</v>
      </c>
      <c r="H522" s="18">
        <v>0</v>
      </c>
      <c r="I522" s="18">
        <v>0</v>
      </c>
      <c r="J522" s="18">
        <v>0</v>
      </c>
    </row>
    <row r="523" spans="1:10" x14ac:dyDescent="0.25">
      <c r="A523" s="17">
        <v>201040214</v>
      </c>
      <c r="B523" s="17" t="s">
        <v>421</v>
      </c>
      <c r="C523" s="17" t="s">
        <v>366</v>
      </c>
      <c r="D523" s="17" t="str">
        <f t="shared" si="6"/>
        <v>7</v>
      </c>
      <c r="E523" s="17" t="s">
        <v>366</v>
      </c>
      <c r="F523" s="17">
        <v>8974</v>
      </c>
      <c r="G523" s="17" t="s">
        <v>311</v>
      </c>
      <c r="H523" s="18">
        <v>0</v>
      </c>
      <c r="I523" s="18">
        <v>0</v>
      </c>
      <c r="J523" s="18">
        <v>0</v>
      </c>
    </row>
    <row r="524" spans="1:10" x14ac:dyDescent="0.25">
      <c r="A524" s="17">
        <v>201040214</v>
      </c>
      <c r="B524" s="17" t="s">
        <v>421</v>
      </c>
      <c r="C524" s="17" t="s">
        <v>135</v>
      </c>
      <c r="D524" s="17" t="str">
        <f t="shared" si="6"/>
        <v>7</v>
      </c>
      <c r="E524" s="17" t="s">
        <v>135</v>
      </c>
      <c r="F524" s="17">
        <v>8809</v>
      </c>
      <c r="G524" s="17" t="s">
        <v>580</v>
      </c>
      <c r="H524" s="18">
        <v>0</v>
      </c>
      <c r="I524" s="18">
        <v>0</v>
      </c>
      <c r="J524" s="18">
        <v>0</v>
      </c>
    </row>
    <row r="525" spans="1:10" x14ac:dyDescent="0.25">
      <c r="A525" s="17">
        <v>201040214</v>
      </c>
      <c r="B525" s="17" t="s">
        <v>421</v>
      </c>
      <c r="C525" s="17" t="s">
        <v>135</v>
      </c>
      <c r="D525" s="17" t="str">
        <f t="shared" si="6"/>
        <v>7</v>
      </c>
      <c r="E525" s="17" t="s">
        <v>135</v>
      </c>
      <c r="F525" s="17">
        <v>8810</v>
      </c>
      <c r="G525" s="17" t="s">
        <v>581</v>
      </c>
      <c r="H525" s="18">
        <v>0</v>
      </c>
      <c r="I525" s="18">
        <v>0</v>
      </c>
      <c r="J525" s="18">
        <v>0</v>
      </c>
    </row>
    <row r="526" spans="1:10" x14ac:dyDescent="0.25">
      <c r="A526" s="17">
        <v>201040214</v>
      </c>
      <c r="B526" s="17" t="s">
        <v>421</v>
      </c>
      <c r="C526" s="17" t="s">
        <v>135</v>
      </c>
      <c r="D526" s="17" t="str">
        <f t="shared" si="6"/>
        <v>7</v>
      </c>
      <c r="E526" s="17" t="s">
        <v>135</v>
      </c>
      <c r="F526" s="17">
        <v>8811</v>
      </c>
      <c r="G526" s="17" t="s">
        <v>582</v>
      </c>
      <c r="H526" s="18">
        <v>0</v>
      </c>
      <c r="I526" s="18">
        <v>0</v>
      </c>
      <c r="J526" s="18">
        <v>0</v>
      </c>
    </row>
    <row r="527" spans="1:10" x14ac:dyDescent="0.25">
      <c r="A527" s="17">
        <v>201040214</v>
      </c>
      <c r="B527" s="17" t="s">
        <v>421</v>
      </c>
      <c r="C527" s="17" t="s">
        <v>135</v>
      </c>
      <c r="D527" s="17" t="str">
        <f t="shared" si="6"/>
        <v>7</v>
      </c>
      <c r="E527" s="17" t="s">
        <v>135</v>
      </c>
      <c r="F527" s="17">
        <v>8812</v>
      </c>
      <c r="G527" s="17" t="s">
        <v>583</v>
      </c>
      <c r="H527" s="18">
        <v>0</v>
      </c>
      <c r="I527" s="18">
        <v>0</v>
      </c>
      <c r="J527" s="18">
        <v>0</v>
      </c>
    </row>
    <row r="528" spans="1:10" x14ac:dyDescent="0.25">
      <c r="A528" s="17">
        <v>201040214</v>
      </c>
      <c r="B528" s="17" t="s">
        <v>421</v>
      </c>
      <c r="C528" s="17" t="s">
        <v>135</v>
      </c>
      <c r="D528" s="17" t="str">
        <f t="shared" si="6"/>
        <v>7</v>
      </c>
      <c r="E528" s="17" t="s">
        <v>135</v>
      </c>
      <c r="F528" s="17">
        <v>8813</v>
      </c>
      <c r="G528" s="17" t="s">
        <v>584</v>
      </c>
      <c r="H528" s="18">
        <v>0</v>
      </c>
      <c r="I528" s="18">
        <v>0</v>
      </c>
      <c r="J528" s="18">
        <v>0</v>
      </c>
    </row>
    <row r="529" spans="1:10" x14ac:dyDescent="0.25">
      <c r="A529" s="17">
        <v>201040214</v>
      </c>
      <c r="B529" s="17" t="s">
        <v>421</v>
      </c>
      <c r="C529" s="17" t="s">
        <v>136</v>
      </c>
      <c r="D529" s="17" t="str">
        <f t="shared" si="6"/>
        <v>7</v>
      </c>
      <c r="E529" s="17" t="s">
        <v>136</v>
      </c>
      <c r="F529" s="17">
        <v>8798</v>
      </c>
      <c r="G529" s="17" t="s">
        <v>377</v>
      </c>
      <c r="H529" s="18">
        <v>0</v>
      </c>
      <c r="I529" s="18">
        <v>0</v>
      </c>
      <c r="J529" s="18">
        <v>0</v>
      </c>
    </row>
    <row r="530" spans="1:10" x14ac:dyDescent="0.25">
      <c r="A530" s="17">
        <v>201040214</v>
      </c>
      <c r="B530" s="17" t="s">
        <v>421</v>
      </c>
      <c r="C530" s="17" t="s">
        <v>585</v>
      </c>
      <c r="D530" s="17" t="str">
        <f t="shared" si="6"/>
        <v>8</v>
      </c>
      <c r="E530" s="17" t="s">
        <v>136</v>
      </c>
      <c r="F530" s="17">
        <v>8966</v>
      </c>
      <c r="G530" s="17" t="s">
        <v>586</v>
      </c>
      <c r="H530" s="18">
        <v>0</v>
      </c>
      <c r="I530" s="18">
        <v>0</v>
      </c>
      <c r="J530" s="18">
        <v>0</v>
      </c>
    </row>
    <row r="531" spans="1:10" x14ac:dyDescent="0.25">
      <c r="A531" s="17">
        <v>201040214</v>
      </c>
      <c r="B531" s="17" t="s">
        <v>421</v>
      </c>
      <c r="C531" s="17" t="s">
        <v>585</v>
      </c>
      <c r="D531" s="17" t="str">
        <f t="shared" si="6"/>
        <v>8</v>
      </c>
      <c r="E531" s="17" t="s">
        <v>136</v>
      </c>
      <c r="F531" s="17">
        <v>8967</v>
      </c>
      <c r="G531" s="17" t="s">
        <v>587</v>
      </c>
      <c r="H531" s="18">
        <v>0</v>
      </c>
      <c r="I531" s="18">
        <v>0</v>
      </c>
      <c r="J531" s="18">
        <v>0</v>
      </c>
    </row>
    <row r="532" spans="1:10" x14ac:dyDescent="0.25">
      <c r="A532" s="17">
        <v>201040214</v>
      </c>
      <c r="B532" s="17" t="s">
        <v>421</v>
      </c>
      <c r="C532" s="17" t="s">
        <v>588</v>
      </c>
      <c r="D532" s="17" t="str">
        <f t="shared" si="6"/>
        <v>7</v>
      </c>
      <c r="E532" s="17" t="s">
        <v>588</v>
      </c>
      <c r="F532" s="17">
        <v>8902</v>
      </c>
      <c r="G532" s="17" t="s">
        <v>589</v>
      </c>
      <c r="H532" s="18">
        <v>0</v>
      </c>
      <c r="I532" s="18">
        <v>0</v>
      </c>
      <c r="J532" s="18">
        <v>0</v>
      </c>
    </row>
    <row r="533" spans="1:10" x14ac:dyDescent="0.25">
      <c r="A533" s="17">
        <v>201040214</v>
      </c>
      <c r="B533" s="17" t="s">
        <v>421</v>
      </c>
      <c r="C533" s="17" t="s">
        <v>138</v>
      </c>
      <c r="D533" s="17" t="str">
        <f t="shared" si="6"/>
        <v>8</v>
      </c>
      <c r="E533" s="17" t="s">
        <v>588</v>
      </c>
      <c r="F533" s="17">
        <v>8939</v>
      </c>
      <c r="G533" s="17" t="s">
        <v>590</v>
      </c>
      <c r="H533" s="18">
        <v>0</v>
      </c>
      <c r="I533" s="18">
        <v>0</v>
      </c>
      <c r="J533" s="18">
        <v>0</v>
      </c>
    </row>
    <row r="534" spans="1:10" x14ac:dyDescent="0.25">
      <c r="A534" s="17">
        <v>201040214</v>
      </c>
      <c r="B534" s="17" t="s">
        <v>421</v>
      </c>
      <c r="C534" s="17" t="s">
        <v>118</v>
      </c>
      <c r="D534" s="17" t="str">
        <f t="shared" si="6"/>
        <v>8</v>
      </c>
      <c r="E534" s="17" t="s">
        <v>379</v>
      </c>
      <c r="F534" s="17">
        <v>8963</v>
      </c>
      <c r="G534" s="17" t="s">
        <v>591</v>
      </c>
      <c r="H534" s="18">
        <v>0</v>
      </c>
      <c r="I534" s="18">
        <v>0</v>
      </c>
      <c r="J534" s="18">
        <v>0</v>
      </c>
    </row>
    <row r="535" spans="1:10" x14ac:dyDescent="0.25">
      <c r="A535" s="17">
        <v>201040214</v>
      </c>
      <c r="B535" s="17" t="s">
        <v>421</v>
      </c>
      <c r="C535" s="17" t="s">
        <v>118</v>
      </c>
      <c r="D535" s="17" t="str">
        <f t="shared" si="6"/>
        <v>8</v>
      </c>
      <c r="E535" s="17" t="s">
        <v>137</v>
      </c>
      <c r="F535" s="17">
        <v>8945</v>
      </c>
      <c r="G535" s="17" t="s">
        <v>592</v>
      </c>
      <c r="H535" s="18">
        <v>0</v>
      </c>
      <c r="I535" s="18">
        <v>0</v>
      </c>
      <c r="J535" s="18">
        <v>0</v>
      </c>
    </row>
    <row r="536" spans="1:10" x14ac:dyDescent="0.25">
      <c r="A536" s="17">
        <v>201040214</v>
      </c>
      <c r="B536" s="17" t="s">
        <v>421</v>
      </c>
      <c r="C536" s="17" t="s">
        <v>118</v>
      </c>
      <c r="D536" s="17" t="str">
        <f t="shared" si="6"/>
        <v>8</v>
      </c>
      <c r="E536" s="17" t="s">
        <v>118</v>
      </c>
      <c r="F536" s="17">
        <v>9027</v>
      </c>
      <c r="G536" s="17" t="s">
        <v>239</v>
      </c>
      <c r="H536" s="18">
        <v>0</v>
      </c>
      <c r="I536" s="18">
        <v>0</v>
      </c>
      <c r="J536" s="18">
        <v>0</v>
      </c>
    </row>
    <row r="537" spans="1:10" x14ac:dyDescent="0.25">
      <c r="A537" s="17">
        <v>201040214</v>
      </c>
      <c r="B537" s="17" t="s">
        <v>421</v>
      </c>
      <c r="C537" s="17" t="s">
        <v>118</v>
      </c>
      <c r="D537" s="17" t="str">
        <f t="shared" si="6"/>
        <v>8</v>
      </c>
      <c r="E537" s="17" t="s">
        <v>118</v>
      </c>
      <c r="F537" s="17">
        <v>9029</v>
      </c>
      <c r="G537" s="17" t="s">
        <v>382</v>
      </c>
      <c r="H537" s="18">
        <v>0</v>
      </c>
      <c r="I537" s="18">
        <v>0</v>
      </c>
      <c r="J537" s="18">
        <v>0</v>
      </c>
    </row>
    <row r="538" spans="1:10" x14ac:dyDescent="0.25">
      <c r="A538" s="17">
        <v>201040214</v>
      </c>
      <c r="B538" s="17" t="s">
        <v>421</v>
      </c>
      <c r="C538" s="17" t="s">
        <v>118</v>
      </c>
      <c r="D538" s="17" t="str">
        <f t="shared" si="6"/>
        <v>8</v>
      </c>
      <c r="E538" s="17" t="s">
        <v>118</v>
      </c>
      <c r="F538" s="17">
        <v>9074</v>
      </c>
      <c r="G538" s="17" t="s">
        <v>593</v>
      </c>
      <c r="H538" s="18">
        <v>0</v>
      </c>
      <c r="I538" s="18">
        <v>0</v>
      </c>
      <c r="J538" s="18">
        <v>0</v>
      </c>
    </row>
    <row r="539" spans="1:10" x14ac:dyDescent="0.25">
      <c r="A539" s="17">
        <v>201040214</v>
      </c>
      <c r="B539" s="17" t="s">
        <v>421</v>
      </c>
      <c r="C539" s="17" t="s">
        <v>118</v>
      </c>
      <c r="D539" s="17" t="str">
        <f t="shared" si="6"/>
        <v>8</v>
      </c>
      <c r="E539" s="17" t="s">
        <v>118</v>
      </c>
      <c r="F539" s="17">
        <v>9076</v>
      </c>
      <c r="G539" s="17" t="s">
        <v>594</v>
      </c>
      <c r="H539" s="18">
        <v>0</v>
      </c>
      <c r="I539" s="18">
        <v>0</v>
      </c>
      <c r="J539" s="18">
        <v>0</v>
      </c>
    </row>
    <row r="540" spans="1:10" x14ac:dyDescent="0.25">
      <c r="A540" s="17">
        <v>201040214</v>
      </c>
      <c r="B540" s="17" t="s">
        <v>421</v>
      </c>
      <c r="C540" s="17" t="s">
        <v>118</v>
      </c>
      <c r="D540" s="17" t="str">
        <f t="shared" si="6"/>
        <v>8</v>
      </c>
      <c r="E540" s="17" t="s">
        <v>118</v>
      </c>
      <c r="F540" s="17">
        <v>9077</v>
      </c>
      <c r="G540" s="17" t="s">
        <v>595</v>
      </c>
      <c r="H540" s="18">
        <v>0</v>
      </c>
      <c r="I540" s="18">
        <v>0</v>
      </c>
      <c r="J540" s="18">
        <v>0</v>
      </c>
    </row>
    <row r="541" spans="1:10" x14ac:dyDescent="0.25">
      <c r="A541" s="17">
        <v>201040214</v>
      </c>
      <c r="B541" s="17" t="s">
        <v>421</v>
      </c>
      <c r="C541" s="17" t="s">
        <v>118</v>
      </c>
      <c r="D541" s="17" t="str">
        <f t="shared" si="6"/>
        <v>8</v>
      </c>
      <c r="E541" s="17" t="s">
        <v>118</v>
      </c>
      <c r="F541" s="17">
        <v>9078</v>
      </c>
      <c r="G541" s="17" t="s">
        <v>596</v>
      </c>
      <c r="H541" s="18">
        <v>0</v>
      </c>
      <c r="I541" s="18">
        <v>0</v>
      </c>
      <c r="J541" s="18">
        <v>0</v>
      </c>
    </row>
    <row r="542" spans="1:10" x14ac:dyDescent="0.25">
      <c r="A542" s="17">
        <v>201040214</v>
      </c>
      <c r="B542" s="17" t="s">
        <v>421</v>
      </c>
      <c r="C542" s="17" t="s">
        <v>118</v>
      </c>
      <c r="D542" s="17" t="str">
        <f t="shared" si="6"/>
        <v>8</v>
      </c>
      <c r="E542" s="17" t="s">
        <v>118</v>
      </c>
      <c r="F542" s="17">
        <v>9079</v>
      </c>
      <c r="G542" s="17" t="s">
        <v>597</v>
      </c>
      <c r="H542" s="18">
        <v>0</v>
      </c>
      <c r="I542" s="18">
        <v>0</v>
      </c>
      <c r="J542" s="18">
        <v>0</v>
      </c>
    </row>
    <row r="543" spans="1:10" x14ac:dyDescent="0.25">
      <c r="A543" s="17">
        <v>201040214</v>
      </c>
      <c r="B543" s="17" t="s">
        <v>421</v>
      </c>
      <c r="C543" s="17" t="s">
        <v>118</v>
      </c>
      <c r="D543" s="17" t="str">
        <f t="shared" si="6"/>
        <v>8</v>
      </c>
      <c r="E543" s="17" t="s">
        <v>118</v>
      </c>
      <c r="F543" s="17">
        <v>9080</v>
      </c>
      <c r="G543" s="17" t="s">
        <v>598</v>
      </c>
      <c r="H543" s="18">
        <v>0</v>
      </c>
      <c r="I543" s="18">
        <v>0</v>
      </c>
      <c r="J543" s="18">
        <v>0</v>
      </c>
    </row>
    <row r="544" spans="1:10" x14ac:dyDescent="0.25">
      <c r="A544" s="17">
        <v>201040214</v>
      </c>
      <c r="B544" s="17" t="s">
        <v>421</v>
      </c>
      <c r="C544" s="17" t="s">
        <v>118</v>
      </c>
      <c r="D544" s="17" t="str">
        <f t="shared" si="6"/>
        <v>8</v>
      </c>
      <c r="E544" s="17" t="s">
        <v>118</v>
      </c>
      <c r="F544" s="17">
        <v>9081</v>
      </c>
      <c r="G544" s="17" t="s">
        <v>599</v>
      </c>
      <c r="H544" s="18">
        <v>0</v>
      </c>
      <c r="I544" s="18">
        <v>0</v>
      </c>
      <c r="J544" s="18">
        <v>0</v>
      </c>
    </row>
    <row r="545" spans="1:10" x14ac:dyDescent="0.25">
      <c r="A545" s="17">
        <v>201040214</v>
      </c>
      <c r="B545" s="17" t="s">
        <v>421</v>
      </c>
      <c r="C545" s="17" t="s">
        <v>118</v>
      </c>
      <c r="D545" s="17" t="str">
        <f t="shared" si="6"/>
        <v>8</v>
      </c>
      <c r="E545" s="17" t="s">
        <v>118</v>
      </c>
      <c r="F545" s="17">
        <v>9116</v>
      </c>
      <c r="G545" s="17" t="s">
        <v>600</v>
      </c>
      <c r="H545" s="18">
        <v>0</v>
      </c>
      <c r="I545" s="18">
        <v>0</v>
      </c>
      <c r="J545" s="18">
        <v>0</v>
      </c>
    </row>
    <row r="546" spans="1:10" x14ac:dyDescent="0.25">
      <c r="A546" s="17">
        <v>201040214</v>
      </c>
      <c r="B546" s="17" t="s">
        <v>421</v>
      </c>
      <c r="C546" s="17" t="s">
        <v>118</v>
      </c>
      <c r="D546" s="17" t="str">
        <f t="shared" si="6"/>
        <v>8</v>
      </c>
      <c r="E546" s="17" t="s">
        <v>118</v>
      </c>
      <c r="F546" s="17">
        <v>9117</v>
      </c>
      <c r="G546" s="17" t="s">
        <v>601</v>
      </c>
      <c r="H546" s="18">
        <v>0</v>
      </c>
      <c r="I546" s="18">
        <v>0</v>
      </c>
      <c r="J546" s="18">
        <v>0</v>
      </c>
    </row>
    <row r="547" spans="1:10" x14ac:dyDescent="0.25">
      <c r="A547" s="17">
        <v>201040214</v>
      </c>
      <c r="B547" s="17" t="s">
        <v>421</v>
      </c>
      <c r="C547" s="17" t="s">
        <v>161</v>
      </c>
      <c r="D547" s="17" t="str">
        <f t="shared" si="6"/>
        <v>8</v>
      </c>
      <c r="E547" s="17" t="s">
        <v>161</v>
      </c>
      <c r="F547" s="17">
        <v>9064</v>
      </c>
      <c r="G547" s="17" t="s">
        <v>602</v>
      </c>
      <c r="H547" s="18">
        <v>0</v>
      </c>
      <c r="I547" s="18">
        <v>0</v>
      </c>
      <c r="J547" s="18">
        <v>0</v>
      </c>
    </row>
    <row r="548" spans="1:10" x14ac:dyDescent="0.25">
      <c r="A548" s="17">
        <v>201040214</v>
      </c>
      <c r="B548" s="17" t="s">
        <v>421</v>
      </c>
      <c r="C548" s="17" t="s">
        <v>161</v>
      </c>
      <c r="D548" s="17" t="str">
        <f t="shared" si="6"/>
        <v>8</v>
      </c>
      <c r="E548" s="17" t="s">
        <v>161</v>
      </c>
      <c r="F548" s="17">
        <v>9065</v>
      </c>
      <c r="G548" s="17" t="s">
        <v>603</v>
      </c>
      <c r="H548" s="18">
        <v>0</v>
      </c>
      <c r="I548" s="18">
        <v>0</v>
      </c>
      <c r="J548" s="18">
        <v>0</v>
      </c>
    </row>
    <row r="549" spans="1:10" x14ac:dyDescent="0.25">
      <c r="A549" s="17">
        <v>201040214</v>
      </c>
      <c r="B549" s="17" t="s">
        <v>421</v>
      </c>
      <c r="C549" s="17" t="s">
        <v>161</v>
      </c>
      <c r="D549" s="17" t="str">
        <f t="shared" si="6"/>
        <v>8</v>
      </c>
      <c r="E549" s="17" t="s">
        <v>161</v>
      </c>
      <c r="F549" s="17">
        <v>9073</v>
      </c>
      <c r="G549" s="17" t="s">
        <v>577</v>
      </c>
      <c r="H549" s="18">
        <v>0</v>
      </c>
      <c r="I549" s="18">
        <v>0</v>
      </c>
      <c r="J549" s="18">
        <v>0</v>
      </c>
    </row>
    <row r="550" spans="1:10" x14ac:dyDescent="0.25">
      <c r="A550" s="17">
        <v>201040214</v>
      </c>
      <c r="B550" s="17" t="s">
        <v>421</v>
      </c>
      <c r="C550" s="17" t="s">
        <v>161</v>
      </c>
      <c r="D550" s="17" t="str">
        <f t="shared" si="6"/>
        <v>8</v>
      </c>
      <c r="E550" s="17" t="s">
        <v>161</v>
      </c>
      <c r="F550" s="17">
        <v>9084</v>
      </c>
      <c r="G550" s="17" t="s">
        <v>604</v>
      </c>
      <c r="H550" s="18">
        <v>0</v>
      </c>
      <c r="I550" s="18">
        <v>0</v>
      </c>
      <c r="J550" s="18">
        <v>0</v>
      </c>
    </row>
    <row r="551" spans="1:10" x14ac:dyDescent="0.25">
      <c r="A551" s="17">
        <v>201040214</v>
      </c>
      <c r="B551" s="17" t="s">
        <v>421</v>
      </c>
      <c r="C551" s="17" t="s">
        <v>383</v>
      </c>
      <c r="D551" s="17" t="str">
        <f t="shared" si="6"/>
        <v>8</v>
      </c>
      <c r="E551" s="17" t="s">
        <v>383</v>
      </c>
      <c r="F551" s="17">
        <v>9031</v>
      </c>
      <c r="G551" s="17" t="s">
        <v>386</v>
      </c>
      <c r="H551" s="18">
        <v>0</v>
      </c>
      <c r="I551" s="18">
        <v>0</v>
      </c>
      <c r="J551" s="18">
        <v>0</v>
      </c>
    </row>
    <row r="552" spans="1:10" x14ac:dyDescent="0.25">
      <c r="A552" s="17">
        <v>201040214</v>
      </c>
      <c r="B552" s="17" t="s">
        <v>421</v>
      </c>
      <c r="C552" s="17" t="s">
        <v>358</v>
      </c>
      <c r="D552" s="17" t="str">
        <f t="shared" si="6"/>
        <v>8</v>
      </c>
      <c r="E552" s="17" t="s">
        <v>358</v>
      </c>
      <c r="F552" s="17">
        <v>9083</v>
      </c>
      <c r="G552" s="17" t="s">
        <v>605</v>
      </c>
      <c r="H552" s="18">
        <v>0</v>
      </c>
      <c r="I552" s="18">
        <v>0</v>
      </c>
      <c r="J552" s="18">
        <v>0</v>
      </c>
    </row>
    <row r="553" spans="1:10" x14ac:dyDescent="0.25">
      <c r="A553" s="17">
        <v>201040214</v>
      </c>
      <c r="B553" s="17" t="s">
        <v>421</v>
      </c>
      <c r="C553" s="17" t="s">
        <v>358</v>
      </c>
      <c r="D553" s="17" t="str">
        <f t="shared" si="6"/>
        <v>8</v>
      </c>
      <c r="E553" s="17" t="s">
        <v>358</v>
      </c>
      <c r="F553" s="17">
        <v>9122</v>
      </c>
      <c r="G553" s="17" t="s">
        <v>606</v>
      </c>
      <c r="H553" s="18">
        <v>0</v>
      </c>
      <c r="I553" s="18">
        <v>0</v>
      </c>
      <c r="J553" s="18">
        <v>0</v>
      </c>
    </row>
    <row r="554" spans="1:10" x14ac:dyDescent="0.25">
      <c r="A554" s="17">
        <v>201040214</v>
      </c>
      <c r="B554" s="17" t="s">
        <v>421</v>
      </c>
      <c r="C554" s="17" t="s">
        <v>240</v>
      </c>
      <c r="D554" s="17" t="str">
        <f t="shared" si="6"/>
        <v>8</v>
      </c>
      <c r="E554" s="17" t="s">
        <v>240</v>
      </c>
      <c r="F554" s="17">
        <v>9033</v>
      </c>
      <c r="G554" s="17" t="s">
        <v>607</v>
      </c>
      <c r="H554" s="18">
        <v>0</v>
      </c>
      <c r="I554" s="18">
        <v>0</v>
      </c>
      <c r="J554" s="18">
        <v>0</v>
      </c>
    </row>
    <row r="555" spans="1:10" x14ac:dyDescent="0.25">
      <c r="A555" s="17">
        <v>201040214</v>
      </c>
      <c r="B555" s="17" t="s">
        <v>421</v>
      </c>
      <c r="C555" s="17" t="s">
        <v>240</v>
      </c>
      <c r="D555" s="17" t="str">
        <f t="shared" si="6"/>
        <v>8</v>
      </c>
      <c r="E555" s="17" t="s">
        <v>240</v>
      </c>
      <c r="F555" s="17">
        <v>9034</v>
      </c>
      <c r="G555" s="17" t="s">
        <v>608</v>
      </c>
      <c r="H555" s="18">
        <v>0</v>
      </c>
      <c r="I555" s="18">
        <v>0</v>
      </c>
      <c r="J555" s="18">
        <v>0</v>
      </c>
    </row>
    <row r="556" spans="1:10" x14ac:dyDescent="0.25">
      <c r="A556" s="17">
        <v>201040214</v>
      </c>
      <c r="B556" s="17" t="s">
        <v>421</v>
      </c>
      <c r="C556" s="17" t="s">
        <v>240</v>
      </c>
      <c r="D556" s="17" t="str">
        <f t="shared" si="6"/>
        <v>8</v>
      </c>
      <c r="E556" s="17" t="s">
        <v>240</v>
      </c>
      <c r="F556" s="17">
        <v>9070</v>
      </c>
      <c r="G556" s="17" t="s">
        <v>609</v>
      </c>
      <c r="H556" s="18">
        <v>0</v>
      </c>
      <c r="I556" s="18">
        <v>0</v>
      </c>
      <c r="J556" s="18">
        <v>0</v>
      </c>
    </row>
    <row r="557" spans="1:10" x14ac:dyDescent="0.25">
      <c r="A557" s="17">
        <v>201040214</v>
      </c>
      <c r="B557" s="17" t="s">
        <v>421</v>
      </c>
      <c r="C557" s="17" t="s">
        <v>240</v>
      </c>
      <c r="D557" s="17" t="str">
        <f t="shared" si="6"/>
        <v>8</v>
      </c>
      <c r="E557" s="17" t="s">
        <v>240</v>
      </c>
      <c r="F557" s="17">
        <v>9082</v>
      </c>
      <c r="G557" s="17" t="s">
        <v>610</v>
      </c>
      <c r="H557" s="18">
        <v>0</v>
      </c>
      <c r="I557" s="18">
        <v>0</v>
      </c>
      <c r="J557" s="18">
        <v>0</v>
      </c>
    </row>
    <row r="558" spans="1:10" x14ac:dyDescent="0.25">
      <c r="A558" s="17">
        <v>201040214</v>
      </c>
      <c r="B558" s="17" t="s">
        <v>421</v>
      </c>
      <c r="C558" s="17" t="s">
        <v>240</v>
      </c>
      <c r="D558" s="17" t="str">
        <f t="shared" si="6"/>
        <v>8</v>
      </c>
      <c r="E558" s="17" t="s">
        <v>240</v>
      </c>
      <c r="F558" s="17">
        <v>9115</v>
      </c>
      <c r="G558" s="17" t="s">
        <v>241</v>
      </c>
      <c r="H558" s="18">
        <v>0</v>
      </c>
      <c r="I558" s="18">
        <v>0</v>
      </c>
      <c r="J558" s="18">
        <v>0</v>
      </c>
    </row>
    <row r="559" spans="1:10" x14ac:dyDescent="0.25">
      <c r="A559" s="17">
        <v>201040214</v>
      </c>
      <c r="B559" s="17" t="s">
        <v>421</v>
      </c>
      <c r="C559" s="17" t="s">
        <v>119</v>
      </c>
      <c r="D559" s="17" t="str">
        <f t="shared" si="6"/>
        <v>8</v>
      </c>
      <c r="E559" s="17" t="s">
        <v>119</v>
      </c>
      <c r="F559" s="17">
        <v>9101</v>
      </c>
      <c r="G559" s="17" t="s">
        <v>388</v>
      </c>
      <c r="H559" s="18">
        <v>0</v>
      </c>
      <c r="I559" s="18">
        <v>0</v>
      </c>
      <c r="J559" s="18">
        <v>0</v>
      </c>
    </row>
    <row r="560" spans="1:10" x14ac:dyDescent="0.25">
      <c r="A560" s="17">
        <v>201040214</v>
      </c>
      <c r="B560" s="17" t="s">
        <v>421</v>
      </c>
      <c r="C560" s="17" t="s">
        <v>611</v>
      </c>
      <c r="D560" s="17" t="str">
        <f t="shared" si="6"/>
        <v>8</v>
      </c>
      <c r="E560" s="17" t="s">
        <v>611</v>
      </c>
      <c r="F560" s="17">
        <v>9121</v>
      </c>
      <c r="G560" s="17" t="s">
        <v>612</v>
      </c>
      <c r="H560" s="18">
        <v>0</v>
      </c>
      <c r="I560" s="18">
        <v>0</v>
      </c>
      <c r="J560" s="18">
        <v>0</v>
      </c>
    </row>
    <row r="561" spans="1:10" x14ac:dyDescent="0.25">
      <c r="A561" s="17">
        <v>201040214</v>
      </c>
      <c r="B561" s="17" t="s">
        <v>421</v>
      </c>
      <c r="C561" s="17" t="s">
        <v>611</v>
      </c>
      <c r="D561" s="17" t="str">
        <f t="shared" si="6"/>
        <v>8</v>
      </c>
      <c r="E561" s="17" t="s">
        <v>611</v>
      </c>
      <c r="F561" s="17">
        <v>9123</v>
      </c>
      <c r="G561" s="17" t="s">
        <v>613</v>
      </c>
      <c r="H561" s="18">
        <v>0</v>
      </c>
      <c r="I561" s="18">
        <v>0</v>
      </c>
      <c r="J561" s="18">
        <v>0</v>
      </c>
    </row>
    <row r="562" spans="1:10" x14ac:dyDescent="0.25">
      <c r="A562" s="17">
        <v>201040214</v>
      </c>
      <c r="B562" s="17" t="s">
        <v>421</v>
      </c>
      <c r="C562" s="17" t="s">
        <v>614</v>
      </c>
      <c r="D562" s="17" t="str">
        <f t="shared" si="6"/>
        <v>8</v>
      </c>
      <c r="E562" s="17" t="s">
        <v>614</v>
      </c>
      <c r="F562" s="17">
        <v>9039</v>
      </c>
      <c r="G562" s="17" t="s">
        <v>615</v>
      </c>
      <c r="H562" s="18">
        <v>0</v>
      </c>
      <c r="I562" s="18">
        <v>0</v>
      </c>
      <c r="J562" s="18">
        <v>0</v>
      </c>
    </row>
    <row r="563" spans="1:10" x14ac:dyDescent="0.25">
      <c r="A563" s="17">
        <v>201040214</v>
      </c>
      <c r="B563" s="17" t="s">
        <v>421</v>
      </c>
      <c r="C563" s="17" t="s">
        <v>122</v>
      </c>
      <c r="D563" s="17" t="str">
        <f t="shared" si="6"/>
        <v>8</v>
      </c>
      <c r="E563" s="17" t="s">
        <v>122</v>
      </c>
      <c r="F563" s="17">
        <v>9118</v>
      </c>
      <c r="G563" s="17" t="s">
        <v>616</v>
      </c>
      <c r="H563" s="18">
        <v>0</v>
      </c>
      <c r="I563" s="18">
        <v>0</v>
      </c>
      <c r="J563" s="18">
        <v>0</v>
      </c>
    </row>
    <row r="564" spans="1:10" x14ac:dyDescent="0.25">
      <c r="A564" s="17">
        <v>201040214</v>
      </c>
      <c r="B564" s="17" t="s">
        <v>421</v>
      </c>
      <c r="C564" s="17" t="s">
        <v>389</v>
      </c>
      <c r="D564" s="17" t="str">
        <f t="shared" si="6"/>
        <v>8</v>
      </c>
      <c r="E564" s="17" t="s">
        <v>389</v>
      </c>
      <c r="F564" s="17">
        <v>9028</v>
      </c>
      <c r="G564" s="17" t="s">
        <v>391</v>
      </c>
      <c r="H564" s="18">
        <v>0</v>
      </c>
      <c r="I564" s="18">
        <v>0</v>
      </c>
      <c r="J564" s="18">
        <v>0</v>
      </c>
    </row>
    <row r="565" spans="1:10" x14ac:dyDescent="0.25">
      <c r="A565" s="17">
        <v>201040214</v>
      </c>
      <c r="B565" s="17" t="s">
        <v>421</v>
      </c>
      <c r="C565" s="17" t="s">
        <v>389</v>
      </c>
      <c r="D565" s="17" t="str">
        <f t="shared" si="6"/>
        <v>8</v>
      </c>
      <c r="E565" s="17" t="s">
        <v>389</v>
      </c>
      <c r="F565" s="17">
        <v>9035</v>
      </c>
      <c r="G565" s="17" t="s">
        <v>617</v>
      </c>
      <c r="H565" s="18">
        <v>0</v>
      </c>
      <c r="I565" s="18">
        <v>0</v>
      </c>
      <c r="J565" s="18">
        <v>0</v>
      </c>
    </row>
    <row r="566" spans="1:10" x14ac:dyDescent="0.25">
      <c r="A566" s="17">
        <v>201040214</v>
      </c>
      <c r="B566" s="17" t="s">
        <v>421</v>
      </c>
      <c r="C566" s="17" t="s">
        <v>389</v>
      </c>
      <c r="D566" s="17" t="str">
        <f t="shared" si="6"/>
        <v>8</v>
      </c>
      <c r="E566" s="17" t="s">
        <v>389</v>
      </c>
      <c r="F566" s="17">
        <v>9036</v>
      </c>
      <c r="G566" s="17" t="s">
        <v>618</v>
      </c>
      <c r="H566" s="18">
        <v>0</v>
      </c>
      <c r="I566" s="18">
        <v>0</v>
      </c>
      <c r="J566" s="18">
        <v>0</v>
      </c>
    </row>
    <row r="567" spans="1:10" x14ac:dyDescent="0.25">
      <c r="A567" s="17">
        <v>201040214</v>
      </c>
      <c r="B567" s="17" t="s">
        <v>421</v>
      </c>
      <c r="C567" s="17" t="s">
        <v>389</v>
      </c>
      <c r="D567" s="17" t="str">
        <f t="shared" si="6"/>
        <v>8</v>
      </c>
      <c r="E567" s="17" t="s">
        <v>389</v>
      </c>
      <c r="F567" s="17">
        <v>9037</v>
      </c>
      <c r="G567" s="17" t="s">
        <v>619</v>
      </c>
      <c r="H567" s="18">
        <v>0</v>
      </c>
      <c r="I567" s="18">
        <v>0</v>
      </c>
      <c r="J567" s="18">
        <v>0</v>
      </c>
    </row>
    <row r="568" spans="1:10" x14ac:dyDescent="0.25">
      <c r="A568" s="17">
        <v>201040214</v>
      </c>
      <c r="B568" s="17" t="s">
        <v>421</v>
      </c>
      <c r="C568" s="17" t="s">
        <v>389</v>
      </c>
      <c r="D568" s="17" t="str">
        <f t="shared" si="6"/>
        <v>8</v>
      </c>
      <c r="E568" s="17" t="s">
        <v>389</v>
      </c>
      <c r="F568" s="17">
        <v>9038</v>
      </c>
      <c r="G568" s="17" t="s">
        <v>620</v>
      </c>
      <c r="H568" s="18">
        <v>0</v>
      </c>
      <c r="I568" s="18">
        <v>0</v>
      </c>
      <c r="J568" s="18">
        <v>0</v>
      </c>
    </row>
    <row r="569" spans="1:10" x14ac:dyDescent="0.25">
      <c r="A569" s="17">
        <v>201040214</v>
      </c>
      <c r="B569" s="17" t="s">
        <v>421</v>
      </c>
      <c r="C569" s="17" t="s">
        <v>389</v>
      </c>
      <c r="D569" s="17" t="str">
        <f t="shared" si="6"/>
        <v>8</v>
      </c>
      <c r="E569" s="17" t="s">
        <v>389</v>
      </c>
      <c r="F569" s="17">
        <v>9119</v>
      </c>
      <c r="G569" s="17" t="s">
        <v>621</v>
      </c>
      <c r="H569" s="18">
        <v>0</v>
      </c>
      <c r="I569" s="18">
        <v>0</v>
      </c>
      <c r="J569" s="18">
        <v>0</v>
      </c>
    </row>
    <row r="570" spans="1:10" x14ac:dyDescent="0.25">
      <c r="A570" s="17">
        <v>201040214</v>
      </c>
      <c r="B570" s="17" t="s">
        <v>421</v>
      </c>
      <c r="C570" s="17" t="s">
        <v>96</v>
      </c>
      <c r="D570" s="17" t="str">
        <f t="shared" si="6"/>
        <v>8</v>
      </c>
      <c r="E570" s="17" t="s">
        <v>96</v>
      </c>
      <c r="F570" s="17">
        <v>9102</v>
      </c>
      <c r="G570" s="17" t="s">
        <v>392</v>
      </c>
      <c r="H570" s="18">
        <v>0</v>
      </c>
      <c r="I570" s="18">
        <v>0</v>
      </c>
      <c r="J570" s="18">
        <v>0</v>
      </c>
    </row>
    <row r="571" spans="1:10" x14ac:dyDescent="0.25">
      <c r="A571" s="17">
        <v>201040214</v>
      </c>
      <c r="B571" s="17" t="s">
        <v>421</v>
      </c>
      <c r="C571" s="17" t="s">
        <v>96</v>
      </c>
      <c r="D571" s="17" t="str">
        <f t="shared" si="6"/>
        <v>8</v>
      </c>
      <c r="E571" s="17" t="s">
        <v>96</v>
      </c>
      <c r="F571" s="17">
        <v>9103</v>
      </c>
      <c r="G571" s="17" t="s">
        <v>393</v>
      </c>
      <c r="H571" s="18">
        <v>0</v>
      </c>
      <c r="I571" s="18">
        <v>0</v>
      </c>
      <c r="J571" s="18">
        <v>0</v>
      </c>
    </row>
    <row r="572" spans="1:10" x14ac:dyDescent="0.25">
      <c r="A572" s="17">
        <v>201040214</v>
      </c>
      <c r="B572" s="17" t="s">
        <v>421</v>
      </c>
      <c r="C572" s="17" t="s">
        <v>622</v>
      </c>
      <c r="D572" s="17" t="str">
        <f t="shared" si="6"/>
        <v>8</v>
      </c>
      <c r="E572" s="17" t="s">
        <v>623</v>
      </c>
      <c r="F572" s="17">
        <v>9067</v>
      </c>
      <c r="G572" s="17" t="s">
        <v>624</v>
      </c>
      <c r="H572" s="18">
        <v>0</v>
      </c>
      <c r="I572" s="18">
        <v>0</v>
      </c>
      <c r="J572" s="18">
        <v>0</v>
      </c>
    </row>
    <row r="573" spans="1:10" x14ac:dyDescent="0.25">
      <c r="A573" s="17">
        <v>201040214</v>
      </c>
      <c r="B573" s="17" t="s">
        <v>421</v>
      </c>
      <c r="C573" s="17" t="s">
        <v>622</v>
      </c>
      <c r="D573" s="17" t="str">
        <f t="shared" si="6"/>
        <v>8</v>
      </c>
      <c r="E573" s="17" t="s">
        <v>622</v>
      </c>
      <c r="F573" s="17">
        <v>9058</v>
      </c>
      <c r="G573" s="17" t="s">
        <v>625</v>
      </c>
      <c r="H573" s="18">
        <v>0</v>
      </c>
      <c r="I573" s="18">
        <v>0</v>
      </c>
      <c r="J573" s="18">
        <v>0</v>
      </c>
    </row>
    <row r="574" spans="1:10" x14ac:dyDescent="0.25">
      <c r="A574" s="17">
        <v>201040214</v>
      </c>
      <c r="B574" s="17" t="s">
        <v>421</v>
      </c>
      <c r="C574" s="17" t="s">
        <v>140</v>
      </c>
      <c r="D574" s="17" t="str">
        <f t="shared" si="6"/>
        <v>9</v>
      </c>
      <c r="E574" s="17" t="s">
        <v>622</v>
      </c>
      <c r="F574" s="17">
        <v>9085</v>
      </c>
      <c r="G574" s="17" t="s">
        <v>626</v>
      </c>
      <c r="H574" s="18">
        <v>0</v>
      </c>
      <c r="I574" s="18">
        <v>0</v>
      </c>
      <c r="J574" s="18">
        <v>0</v>
      </c>
    </row>
    <row r="575" spans="1:10" x14ac:dyDescent="0.25">
      <c r="A575" s="17">
        <v>201040214</v>
      </c>
      <c r="B575" s="17" t="s">
        <v>421</v>
      </c>
      <c r="C575" s="17" t="s">
        <v>140</v>
      </c>
      <c r="D575" s="17" t="str">
        <f t="shared" si="6"/>
        <v>9</v>
      </c>
      <c r="E575" s="17" t="s">
        <v>622</v>
      </c>
      <c r="F575" s="17">
        <v>9086</v>
      </c>
      <c r="G575" s="17" t="s">
        <v>627</v>
      </c>
      <c r="H575" s="18">
        <v>0</v>
      </c>
      <c r="I575" s="18">
        <v>0</v>
      </c>
      <c r="J575" s="18">
        <v>0</v>
      </c>
    </row>
    <row r="576" spans="1:10" x14ac:dyDescent="0.25">
      <c r="A576" s="17">
        <v>201040214</v>
      </c>
      <c r="B576" s="17" t="s">
        <v>421</v>
      </c>
      <c r="C576" s="17" t="s">
        <v>139</v>
      </c>
      <c r="D576" s="17" t="str">
        <f t="shared" si="6"/>
        <v>8</v>
      </c>
      <c r="E576" s="17" t="s">
        <v>139</v>
      </c>
      <c r="F576" s="17">
        <v>9153</v>
      </c>
      <c r="G576" s="17" t="s">
        <v>628</v>
      </c>
      <c r="H576" s="18">
        <v>0</v>
      </c>
      <c r="I576" s="18">
        <v>0</v>
      </c>
      <c r="J576" s="18">
        <v>0</v>
      </c>
    </row>
    <row r="577" spans="1:10" x14ac:dyDescent="0.25">
      <c r="A577" s="17">
        <v>201040214</v>
      </c>
      <c r="B577" s="17" t="s">
        <v>421</v>
      </c>
      <c r="C577" s="17" t="s">
        <v>163</v>
      </c>
      <c r="D577" s="17" t="str">
        <f t="shared" si="6"/>
        <v>9</v>
      </c>
      <c r="E577" s="17" t="s">
        <v>629</v>
      </c>
      <c r="F577" s="17">
        <v>9252</v>
      </c>
      <c r="G577" s="17" t="s">
        <v>630</v>
      </c>
      <c r="H577" s="18">
        <v>0</v>
      </c>
      <c r="I577" s="18">
        <v>0</v>
      </c>
      <c r="J577" s="18">
        <v>0</v>
      </c>
    </row>
    <row r="578" spans="1:10" x14ac:dyDescent="0.25">
      <c r="A578" s="17">
        <v>201040214</v>
      </c>
      <c r="B578" s="17" t="s">
        <v>421</v>
      </c>
      <c r="C578" s="17" t="s">
        <v>163</v>
      </c>
      <c r="D578" s="17" t="str">
        <f t="shared" si="6"/>
        <v>9</v>
      </c>
      <c r="E578" s="17" t="s">
        <v>629</v>
      </c>
      <c r="F578" s="17">
        <v>9253</v>
      </c>
      <c r="G578" s="17" t="s">
        <v>631</v>
      </c>
      <c r="H578" s="18">
        <v>0</v>
      </c>
      <c r="I578" s="18">
        <v>0</v>
      </c>
      <c r="J578" s="18">
        <v>0</v>
      </c>
    </row>
    <row r="579" spans="1:10" x14ac:dyDescent="0.25">
      <c r="A579" s="17">
        <v>201040214</v>
      </c>
      <c r="B579" s="17" t="s">
        <v>421</v>
      </c>
      <c r="C579" s="17" t="s">
        <v>163</v>
      </c>
      <c r="D579" s="17" t="str">
        <f t="shared" si="6"/>
        <v>9</v>
      </c>
      <c r="E579" s="17" t="s">
        <v>629</v>
      </c>
      <c r="F579" s="17">
        <v>9254</v>
      </c>
      <c r="G579" s="17" t="s">
        <v>632</v>
      </c>
      <c r="H579" s="18">
        <v>0</v>
      </c>
      <c r="I579" s="18">
        <v>0</v>
      </c>
      <c r="J579" s="18">
        <v>0</v>
      </c>
    </row>
    <row r="580" spans="1:10" x14ac:dyDescent="0.25">
      <c r="A580" s="17">
        <v>201040214</v>
      </c>
      <c r="B580" s="17" t="s">
        <v>421</v>
      </c>
      <c r="C580" s="17" t="s">
        <v>163</v>
      </c>
      <c r="D580" s="17" t="str">
        <f t="shared" si="6"/>
        <v>9</v>
      </c>
      <c r="E580" s="17" t="s">
        <v>163</v>
      </c>
      <c r="F580" s="17">
        <v>9176</v>
      </c>
      <c r="G580" s="17" t="s">
        <v>243</v>
      </c>
      <c r="H580" s="18">
        <v>0</v>
      </c>
      <c r="I580" s="18">
        <v>0</v>
      </c>
      <c r="J580" s="18">
        <v>0</v>
      </c>
    </row>
    <row r="581" spans="1:10" x14ac:dyDescent="0.25">
      <c r="A581" s="17">
        <v>201040214</v>
      </c>
      <c r="B581" s="17" t="s">
        <v>421</v>
      </c>
      <c r="C581" s="17" t="s">
        <v>163</v>
      </c>
      <c r="D581" s="17" t="str">
        <f t="shared" si="6"/>
        <v>9</v>
      </c>
      <c r="E581" s="17" t="s">
        <v>163</v>
      </c>
      <c r="F581" s="17">
        <v>9177</v>
      </c>
      <c r="G581" s="17" t="s">
        <v>244</v>
      </c>
      <c r="H581" s="18">
        <v>0</v>
      </c>
      <c r="I581" s="18">
        <v>0</v>
      </c>
      <c r="J581" s="18">
        <v>0</v>
      </c>
    </row>
    <row r="582" spans="1:10" x14ac:dyDescent="0.25">
      <c r="A582" s="17">
        <v>201040214</v>
      </c>
      <c r="B582" s="17" t="s">
        <v>421</v>
      </c>
      <c r="C582" s="17" t="s">
        <v>397</v>
      </c>
      <c r="D582" s="17" t="str">
        <f t="shared" si="6"/>
        <v>9</v>
      </c>
      <c r="E582" s="17" t="s">
        <v>397</v>
      </c>
      <c r="F582" s="17">
        <v>9265</v>
      </c>
      <c r="G582" s="17" t="s">
        <v>398</v>
      </c>
      <c r="H582" s="18">
        <v>0</v>
      </c>
      <c r="I582" s="18">
        <v>0</v>
      </c>
      <c r="J582" s="18">
        <v>0</v>
      </c>
    </row>
    <row r="583" spans="1:10" x14ac:dyDescent="0.25">
      <c r="A583" s="17">
        <v>201040214</v>
      </c>
      <c r="B583" s="17" t="s">
        <v>421</v>
      </c>
      <c r="C583" s="17" t="s">
        <v>399</v>
      </c>
      <c r="D583" s="17" t="str">
        <f t="shared" si="6"/>
        <v>9</v>
      </c>
      <c r="E583" s="17" t="s">
        <v>399</v>
      </c>
      <c r="F583" s="17">
        <v>9179</v>
      </c>
      <c r="G583" s="17" t="s">
        <v>400</v>
      </c>
      <c r="H583" s="18">
        <v>0</v>
      </c>
      <c r="I583" s="18">
        <v>0</v>
      </c>
      <c r="J583" s="18">
        <v>0</v>
      </c>
    </row>
    <row r="584" spans="1:10" x14ac:dyDescent="0.25">
      <c r="A584" s="17">
        <v>201040214</v>
      </c>
      <c r="B584" s="17" t="s">
        <v>421</v>
      </c>
      <c r="C584" s="17" t="s">
        <v>399</v>
      </c>
      <c r="D584" s="17" t="str">
        <f t="shared" si="6"/>
        <v>9</v>
      </c>
      <c r="E584" s="17" t="s">
        <v>399</v>
      </c>
      <c r="F584" s="17">
        <v>9310</v>
      </c>
      <c r="G584" s="17" t="s">
        <v>633</v>
      </c>
      <c r="H584" s="18">
        <v>0</v>
      </c>
      <c r="I584" s="18">
        <v>0</v>
      </c>
      <c r="J584" s="18">
        <v>0</v>
      </c>
    </row>
    <row r="585" spans="1:10" x14ac:dyDescent="0.25">
      <c r="A585" s="17">
        <v>201040214</v>
      </c>
      <c r="B585" s="17" t="s">
        <v>421</v>
      </c>
      <c r="C585" s="17" t="s">
        <v>401</v>
      </c>
      <c r="D585" s="17" t="str">
        <f t="shared" si="6"/>
        <v>9</v>
      </c>
      <c r="E585" s="17" t="s">
        <v>401</v>
      </c>
      <c r="F585" s="17">
        <v>9180</v>
      </c>
      <c r="G585" s="17" t="s">
        <v>402</v>
      </c>
      <c r="H585" s="18">
        <v>0</v>
      </c>
      <c r="I585" s="18">
        <v>0</v>
      </c>
      <c r="J585" s="18">
        <v>0</v>
      </c>
    </row>
    <row r="586" spans="1:10" x14ac:dyDescent="0.25">
      <c r="A586" s="17">
        <v>201040214</v>
      </c>
      <c r="B586" s="17" t="s">
        <v>421</v>
      </c>
      <c r="C586" s="17" t="s">
        <v>401</v>
      </c>
      <c r="D586" s="17" t="str">
        <f t="shared" ref="D586:D607" si="7">+MID(C586,5,1)</f>
        <v>9</v>
      </c>
      <c r="E586" s="17" t="s">
        <v>401</v>
      </c>
      <c r="F586" s="17">
        <v>9181</v>
      </c>
      <c r="G586" s="17" t="s">
        <v>403</v>
      </c>
      <c r="H586" s="18">
        <v>0</v>
      </c>
      <c r="I586" s="18">
        <v>0</v>
      </c>
      <c r="J586" s="18">
        <v>0</v>
      </c>
    </row>
    <row r="587" spans="1:10" x14ac:dyDescent="0.25">
      <c r="A587" s="17">
        <v>201040214</v>
      </c>
      <c r="B587" s="17" t="s">
        <v>421</v>
      </c>
      <c r="C587" s="17" t="s">
        <v>401</v>
      </c>
      <c r="D587" s="17" t="str">
        <f t="shared" si="7"/>
        <v>9</v>
      </c>
      <c r="E587" s="17" t="s">
        <v>401</v>
      </c>
      <c r="F587" s="17">
        <v>9182</v>
      </c>
      <c r="G587" s="17" t="s">
        <v>404</v>
      </c>
      <c r="H587" s="18">
        <v>0</v>
      </c>
      <c r="I587" s="18">
        <v>0</v>
      </c>
      <c r="J587" s="18">
        <v>0</v>
      </c>
    </row>
    <row r="588" spans="1:10" x14ac:dyDescent="0.25">
      <c r="A588" s="17">
        <v>201040214</v>
      </c>
      <c r="B588" s="17" t="s">
        <v>421</v>
      </c>
      <c r="C588" s="17" t="s">
        <v>401</v>
      </c>
      <c r="D588" s="17" t="str">
        <f t="shared" si="7"/>
        <v>9</v>
      </c>
      <c r="E588" s="17" t="s">
        <v>401</v>
      </c>
      <c r="F588" s="17">
        <v>9244</v>
      </c>
      <c r="G588" s="17" t="s">
        <v>634</v>
      </c>
      <c r="H588" s="18">
        <v>0</v>
      </c>
      <c r="I588" s="18">
        <v>0</v>
      </c>
      <c r="J588" s="18">
        <v>0</v>
      </c>
    </row>
    <row r="589" spans="1:10" x14ac:dyDescent="0.25">
      <c r="A589" s="17">
        <v>201040214</v>
      </c>
      <c r="B589" s="17" t="s">
        <v>421</v>
      </c>
      <c r="C589" s="17" t="s">
        <v>401</v>
      </c>
      <c r="D589" s="17" t="str">
        <f t="shared" si="7"/>
        <v>9</v>
      </c>
      <c r="E589" s="17" t="s">
        <v>401</v>
      </c>
      <c r="F589" s="17">
        <v>9246</v>
      </c>
      <c r="G589" s="17" t="s">
        <v>635</v>
      </c>
      <c r="H589" s="18">
        <v>0</v>
      </c>
      <c r="I589" s="18">
        <v>0</v>
      </c>
      <c r="J589" s="18">
        <v>0</v>
      </c>
    </row>
    <row r="590" spans="1:10" x14ac:dyDescent="0.25">
      <c r="A590" s="17">
        <v>201040214</v>
      </c>
      <c r="B590" s="17" t="s">
        <v>421</v>
      </c>
      <c r="C590" s="17" t="s">
        <v>401</v>
      </c>
      <c r="D590" s="17" t="str">
        <f t="shared" si="7"/>
        <v>9</v>
      </c>
      <c r="E590" s="17" t="s">
        <v>401</v>
      </c>
      <c r="F590" s="17">
        <v>9247</v>
      </c>
      <c r="G590" s="17" t="s">
        <v>634</v>
      </c>
      <c r="H590" s="18">
        <v>0</v>
      </c>
      <c r="I590" s="18">
        <v>0</v>
      </c>
      <c r="J590" s="18">
        <v>0</v>
      </c>
    </row>
    <row r="591" spans="1:10" x14ac:dyDescent="0.25">
      <c r="A591" s="17">
        <v>201040214</v>
      </c>
      <c r="B591" s="17" t="s">
        <v>421</v>
      </c>
      <c r="C591" s="17" t="s">
        <v>401</v>
      </c>
      <c r="D591" s="17" t="str">
        <f t="shared" si="7"/>
        <v>9</v>
      </c>
      <c r="E591" s="17" t="s">
        <v>401</v>
      </c>
      <c r="F591" s="17">
        <v>9322</v>
      </c>
      <c r="G591" s="17" t="s">
        <v>636</v>
      </c>
      <c r="H591" s="18">
        <v>0</v>
      </c>
      <c r="I591" s="18">
        <v>0</v>
      </c>
      <c r="J591" s="18">
        <v>0</v>
      </c>
    </row>
    <row r="592" spans="1:10" x14ac:dyDescent="0.25">
      <c r="A592" s="17">
        <v>201040214</v>
      </c>
      <c r="B592" s="17" t="s">
        <v>421</v>
      </c>
      <c r="C592" s="17" t="s">
        <v>143</v>
      </c>
      <c r="D592" s="17">
        <v>10</v>
      </c>
      <c r="E592" s="17" t="s">
        <v>120</v>
      </c>
      <c r="F592" s="17">
        <v>9178</v>
      </c>
      <c r="G592" s="17" t="s">
        <v>637</v>
      </c>
      <c r="H592" s="18">
        <v>0</v>
      </c>
      <c r="I592" s="18">
        <v>0</v>
      </c>
      <c r="J592" s="18">
        <v>0</v>
      </c>
    </row>
    <row r="593" spans="1:10" x14ac:dyDescent="0.25">
      <c r="A593" s="17">
        <v>201040214</v>
      </c>
      <c r="B593" s="17" t="s">
        <v>421</v>
      </c>
      <c r="C593" s="17" t="s">
        <v>120</v>
      </c>
      <c r="D593" s="17" t="str">
        <f t="shared" si="7"/>
        <v>9</v>
      </c>
      <c r="E593" s="17" t="s">
        <v>120</v>
      </c>
      <c r="F593" s="17">
        <v>9248</v>
      </c>
      <c r="G593" s="17" t="s">
        <v>638</v>
      </c>
      <c r="H593" s="18">
        <v>0</v>
      </c>
      <c r="I593" s="18">
        <v>0</v>
      </c>
      <c r="J593" s="18">
        <v>0</v>
      </c>
    </row>
    <row r="594" spans="1:10" x14ac:dyDescent="0.25">
      <c r="A594" s="17">
        <v>201040214</v>
      </c>
      <c r="B594" s="17" t="s">
        <v>421</v>
      </c>
      <c r="C594" s="17" t="s">
        <v>418</v>
      </c>
      <c r="D594" s="17" t="str">
        <f t="shared" si="7"/>
        <v>9</v>
      </c>
      <c r="E594" s="17" t="s">
        <v>418</v>
      </c>
      <c r="F594" s="17">
        <v>9188</v>
      </c>
      <c r="G594" s="17" t="s">
        <v>639</v>
      </c>
      <c r="H594" s="18">
        <v>0</v>
      </c>
      <c r="I594" s="18">
        <v>0</v>
      </c>
      <c r="J594" s="18">
        <v>0</v>
      </c>
    </row>
    <row r="595" spans="1:10" x14ac:dyDescent="0.25">
      <c r="A595" s="17">
        <v>201040214</v>
      </c>
      <c r="B595" s="17" t="s">
        <v>421</v>
      </c>
      <c r="C595" s="17" t="s">
        <v>418</v>
      </c>
      <c r="D595" s="17" t="str">
        <f t="shared" si="7"/>
        <v>9</v>
      </c>
      <c r="E595" s="17" t="s">
        <v>418</v>
      </c>
      <c r="F595" s="17">
        <v>9189</v>
      </c>
      <c r="G595" s="17" t="s">
        <v>640</v>
      </c>
      <c r="H595" s="18">
        <v>0</v>
      </c>
      <c r="I595" s="18">
        <v>0</v>
      </c>
      <c r="J595" s="18">
        <v>0</v>
      </c>
    </row>
    <row r="596" spans="1:10" x14ac:dyDescent="0.25">
      <c r="A596" s="17">
        <v>201040214</v>
      </c>
      <c r="B596" s="17" t="s">
        <v>421</v>
      </c>
      <c r="C596" s="17" t="s">
        <v>405</v>
      </c>
      <c r="D596" s="17" t="str">
        <f t="shared" si="7"/>
        <v>9</v>
      </c>
      <c r="E596" s="17" t="s">
        <v>405</v>
      </c>
      <c r="F596" s="17">
        <v>9242</v>
      </c>
      <c r="G596" s="17" t="s">
        <v>641</v>
      </c>
      <c r="H596" s="18">
        <v>0</v>
      </c>
      <c r="I596" s="18">
        <v>0</v>
      </c>
      <c r="J596" s="18">
        <v>0</v>
      </c>
    </row>
    <row r="597" spans="1:10" x14ac:dyDescent="0.25">
      <c r="A597" s="17">
        <v>201040214</v>
      </c>
      <c r="B597" s="17" t="s">
        <v>421</v>
      </c>
      <c r="C597" s="17" t="s">
        <v>405</v>
      </c>
      <c r="D597" s="17" t="str">
        <f t="shared" si="7"/>
        <v>9</v>
      </c>
      <c r="E597" s="17" t="s">
        <v>405</v>
      </c>
      <c r="F597" s="17">
        <v>9243</v>
      </c>
      <c r="G597" s="17" t="s">
        <v>642</v>
      </c>
      <c r="H597" s="18">
        <v>0</v>
      </c>
      <c r="I597" s="18">
        <v>0</v>
      </c>
      <c r="J597" s="18">
        <v>0</v>
      </c>
    </row>
    <row r="598" spans="1:10" x14ac:dyDescent="0.25">
      <c r="A598" s="17">
        <v>201040214</v>
      </c>
      <c r="B598" s="17" t="s">
        <v>421</v>
      </c>
      <c r="C598" s="17" t="s">
        <v>643</v>
      </c>
      <c r="D598" s="17" t="str">
        <f t="shared" si="7"/>
        <v>9</v>
      </c>
      <c r="E598" s="17" t="s">
        <v>643</v>
      </c>
      <c r="F598" s="17">
        <v>9239</v>
      </c>
      <c r="G598" s="17" t="s">
        <v>644</v>
      </c>
      <c r="H598" s="18">
        <v>0</v>
      </c>
      <c r="I598" s="18">
        <v>0</v>
      </c>
      <c r="J598" s="18">
        <v>0</v>
      </c>
    </row>
    <row r="599" spans="1:10" x14ac:dyDescent="0.25">
      <c r="A599" s="17">
        <v>201040214</v>
      </c>
      <c r="B599" s="17" t="s">
        <v>421</v>
      </c>
      <c r="C599" s="17" t="s">
        <v>643</v>
      </c>
      <c r="D599" s="17" t="str">
        <f t="shared" si="7"/>
        <v>9</v>
      </c>
      <c r="E599" s="17" t="s">
        <v>643</v>
      </c>
      <c r="F599" s="17">
        <v>9240</v>
      </c>
      <c r="G599" s="17" t="s">
        <v>645</v>
      </c>
      <c r="H599" s="18">
        <v>0</v>
      </c>
      <c r="I599" s="18">
        <v>0</v>
      </c>
      <c r="J599" s="18">
        <v>0</v>
      </c>
    </row>
    <row r="600" spans="1:10" x14ac:dyDescent="0.25">
      <c r="A600" s="17">
        <v>201040214</v>
      </c>
      <c r="B600" s="17" t="s">
        <v>421</v>
      </c>
      <c r="C600" s="17" t="s">
        <v>643</v>
      </c>
      <c r="D600" s="17" t="str">
        <f t="shared" si="7"/>
        <v>9</v>
      </c>
      <c r="E600" s="17" t="s">
        <v>643</v>
      </c>
      <c r="F600" s="17">
        <v>9241</v>
      </c>
      <c r="G600" s="17" t="s">
        <v>646</v>
      </c>
      <c r="H600" s="18">
        <v>0</v>
      </c>
      <c r="I600" s="18">
        <v>0</v>
      </c>
      <c r="J600" s="18">
        <v>0</v>
      </c>
    </row>
    <row r="601" spans="1:10" x14ac:dyDescent="0.25">
      <c r="A601" s="17">
        <v>201040214</v>
      </c>
      <c r="B601" s="17" t="s">
        <v>421</v>
      </c>
      <c r="C601" s="17" t="s">
        <v>164</v>
      </c>
      <c r="D601" s="17" t="str">
        <f t="shared" si="7"/>
        <v>9</v>
      </c>
      <c r="E601" s="17" t="s">
        <v>647</v>
      </c>
      <c r="F601" s="17">
        <v>9323</v>
      </c>
      <c r="G601" s="17" t="s">
        <v>648</v>
      </c>
      <c r="H601" s="18">
        <v>0</v>
      </c>
      <c r="I601" s="18">
        <v>0</v>
      </c>
      <c r="J601" s="18">
        <v>0</v>
      </c>
    </row>
    <row r="602" spans="1:10" x14ac:dyDescent="0.25">
      <c r="A602" s="17">
        <v>201040214</v>
      </c>
      <c r="B602" s="17" t="s">
        <v>421</v>
      </c>
      <c r="C602" s="17" t="s">
        <v>413</v>
      </c>
      <c r="D602" s="17">
        <v>10</v>
      </c>
      <c r="E602" s="17" t="s">
        <v>123</v>
      </c>
      <c r="F602" s="17">
        <v>9263</v>
      </c>
      <c r="G602" s="17" t="s">
        <v>649</v>
      </c>
      <c r="H602" s="18">
        <v>0</v>
      </c>
      <c r="I602" s="18">
        <v>0</v>
      </c>
      <c r="J602" s="18">
        <v>0</v>
      </c>
    </row>
    <row r="603" spans="1:10" x14ac:dyDescent="0.25">
      <c r="A603" s="17">
        <v>201040214</v>
      </c>
      <c r="B603" s="17" t="s">
        <v>421</v>
      </c>
      <c r="C603" s="17" t="s">
        <v>123</v>
      </c>
      <c r="D603" s="17" t="str">
        <f t="shared" si="7"/>
        <v>9</v>
      </c>
      <c r="E603" s="17" t="s">
        <v>123</v>
      </c>
      <c r="F603" s="17">
        <v>9309</v>
      </c>
      <c r="G603" s="17" t="s">
        <v>650</v>
      </c>
      <c r="H603" s="18">
        <v>0</v>
      </c>
      <c r="I603" s="18">
        <v>0</v>
      </c>
      <c r="J603" s="18">
        <v>0</v>
      </c>
    </row>
    <row r="604" spans="1:10" x14ac:dyDescent="0.25">
      <c r="A604" s="17">
        <v>201040214</v>
      </c>
      <c r="B604" s="17" t="s">
        <v>421</v>
      </c>
      <c r="C604" s="17" t="s">
        <v>140</v>
      </c>
      <c r="D604" s="17" t="str">
        <f t="shared" si="7"/>
        <v>9</v>
      </c>
      <c r="E604" s="17" t="s">
        <v>140</v>
      </c>
      <c r="F604" s="17">
        <v>9264</v>
      </c>
      <c r="G604" s="17" t="s">
        <v>407</v>
      </c>
      <c r="H604" s="18">
        <v>0</v>
      </c>
      <c r="I604" s="18">
        <v>0</v>
      </c>
      <c r="J604" s="18">
        <v>0</v>
      </c>
    </row>
    <row r="605" spans="1:10" x14ac:dyDescent="0.25">
      <c r="A605" s="17">
        <v>201040214</v>
      </c>
      <c r="B605" s="17" t="s">
        <v>421</v>
      </c>
      <c r="C605" s="17" t="s">
        <v>140</v>
      </c>
      <c r="D605" s="17" t="str">
        <f t="shared" si="7"/>
        <v>9</v>
      </c>
      <c r="E605" s="17" t="s">
        <v>140</v>
      </c>
      <c r="F605" s="17">
        <v>9312</v>
      </c>
      <c r="G605" s="17" t="s">
        <v>651</v>
      </c>
      <c r="H605" s="18">
        <v>0</v>
      </c>
      <c r="I605" s="18">
        <v>0</v>
      </c>
      <c r="J605" s="18">
        <v>0</v>
      </c>
    </row>
    <row r="606" spans="1:10" x14ac:dyDescent="0.25">
      <c r="A606" s="17">
        <v>201040214</v>
      </c>
      <c r="B606" s="17" t="s">
        <v>421</v>
      </c>
      <c r="C606" s="17" t="s">
        <v>652</v>
      </c>
      <c r="D606" s="17" t="str">
        <f t="shared" si="7"/>
        <v>9</v>
      </c>
      <c r="E606" s="17" t="s">
        <v>652</v>
      </c>
      <c r="F606" s="17">
        <v>9311</v>
      </c>
      <c r="G606" s="17" t="s">
        <v>653</v>
      </c>
      <c r="H606" s="18">
        <v>0</v>
      </c>
      <c r="I606" s="18">
        <v>0</v>
      </c>
      <c r="J606" s="18">
        <v>0</v>
      </c>
    </row>
    <row r="607" spans="1:10" x14ac:dyDescent="0.25">
      <c r="A607" s="17">
        <v>201040214</v>
      </c>
      <c r="B607" s="17" t="s">
        <v>421</v>
      </c>
      <c r="C607" s="17" t="s">
        <v>125</v>
      </c>
      <c r="D607" s="17" t="str">
        <f t="shared" si="7"/>
        <v>9</v>
      </c>
      <c r="E607" s="17" t="s">
        <v>125</v>
      </c>
      <c r="F607" s="17">
        <v>9308</v>
      </c>
      <c r="G607" s="17" t="s">
        <v>654</v>
      </c>
      <c r="H607" s="18">
        <v>0</v>
      </c>
      <c r="I607" s="18">
        <v>0</v>
      </c>
      <c r="J607" s="18">
        <v>0</v>
      </c>
    </row>
    <row r="608" spans="1:10" x14ac:dyDescent="0.25">
      <c r="A608" s="17">
        <v>201040214</v>
      </c>
      <c r="B608" s="17" t="s">
        <v>421</v>
      </c>
      <c r="C608" s="17" t="s">
        <v>165</v>
      </c>
      <c r="D608" s="17">
        <v>10</v>
      </c>
      <c r="E608" s="17" t="s">
        <v>655</v>
      </c>
      <c r="F608" s="17">
        <v>9359</v>
      </c>
      <c r="G608" s="17" t="s">
        <v>656</v>
      </c>
      <c r="H608" s="18">
        <v>0</v>
      </c>
      <c r="I608" s="18">
        <v>0</v>
      </c>
      <c r="J608" s="18">
        <v>0</v>
      </c>
    </row>
    <row r="609" spans="1:10" x14ac:dyDescent="0.25">
      <c r="A609" s="17">
        <v>201040214</v>
      </c>
      <c r="B609" s="17" t="s">
        <v>421</v>
      </c>
      <c r="C609" s="17" t="s">
        <v>165</v>
      </c>
      <c r="D609" s="17">
        <v>10</v>
      </c>
      <c r="E609" s="17" t="s">
        <v>165</v>
      </c>
      <c r="F609" s="17">
        <v>9352</v>
      </c>
      <c r="G609" s="17" t="s">
        <v>657</v>
      </c>
      <c r="H609" s="18">
        <v>0</v>
      </c>
      <c r="I609" s="18">
        <v>0</v>
      </c>
      <c r="J609" s="18">
        <v>0</v>
      </c>
    </row>
    <row r="610" spans="1:10" x14ac:dyDescent="0.25">
      <c r="A610" s="17">
        <v>201040214</v>
      </c>
      <c r="B610" s="17" t="s">
        <v>421</v>
      </c>
      <c r="C610" s="17" t="s">
        <v>165</v>
      </c>
      <c r="D610" s="17">
        <v>10</v>
      </c>
      <c r="E610" s="17" t="s">
        <v>165</v>
      </c>
      <c r="F610" s="17">
        <v>9385</v>
      </c>
      <c r="G610" s="17" t="s">
        <v>245</v>
      </c>
      <c r="H610" s="18">
        <v>0</v>
      </c>
      <c r="I610" s="18">
        <v>0</v>
      </c>
      <c r="J610" s="18">
        <v>0</v>
      </c>
    </row>
    <row r="611" spans="1:10" x14ac:dyDescent="0.25">
      <c r="A611" s="17">
        <v>201040214</v>
      </c>
      <c r="B611" s="17" t="s">
        <v>421</v>
      </c>
      <c r="C611" s="17" t="s">
        <v>165</v>
      </c>
      <c r="D611" s="17">
        <v>10</v>
      </c>
      <c r="E611" s="17" t="s">
        <v>165</v>
      </c>
      <c r="F611" s="17">
        <v>9386</v>
      </c>
      <c r="G611" s="17" t="s">
        <v>246</v>
      </c>
      <c r="H611" s="18">
        <v>0</v>
      </c>
      <c r="I611" s="18">
        <v>0</v>
      </c>
      <c r="J611" s="18">
        <v>0</v>
      </c>
    </row>
    <row r="612" spans="1:10" x14ac:dyDescent="0.25">
      <c r="A612" s="17">
        <v>201040214</v>
      </c>
      <c r="B612" s="17" t="s">
        <v>421</v>
      </c>
      <c r="C612" s="17" t="s">
        <v>165</v>
      </c>
      <c r="D612" s="17">
        <v>10</v>
      </c>
      <c r="E612" s="17" t="s">
        <v>165</v>
      </c>
      <c r="F612" s="17">
        <v>9443</v>
      </c>
      <c r="G612" s="17" t="s">
        <v>201</v>
      </c>
      <c r="H612" s="18">
        <v>0</v>
      </c>
      <c r="I612" s="18">
        <v>0</v>
      </c>
      <c r="J612" s="18">
        <v>0</v>
      </c>
    </row>
    <row r="613" spans="1:10" x14ac:dyDescent="0.25">
      <c r="A613" s="17">
        <v>201040214</v>
      </c>
      <c r="B613" s="17" t="s">
        <v>421</v>
      </c>
      <c r="C613" s="17" t="s">
        <v>165</v>
      </c>
      <c r="D613" s="17">
        <v>10</v>
      </c>
      <c r="E613" s="17" t="s">
        <v>165</v>
      </c>
      <c r="F613" s="17">
        <v>9444</v>
      </c>
      <c r="G613" s="17" t="s">
        <v>246</v>
      </c>
      <c r="H613" s="18">
        <v>0</v>
      </c>
      <c r="I613" s="18">
        <v>0</v>
      </c>
      <c r="J613" s="18">
        <v>0</v>
      </c>
    </row>
    <row r="614" spans="1:10" x14ac:dyDescent="0.25">
      <c r="A614" s="17">
        <v>201040214</v>
      </c>
      <c r="B614" s="17" t="s">
        <v>421</v>
      </c>
      <c r="C614" s="17" t="s">
        <v>658</v>
      </c>
      <c r="D614" s="17">
        <v>1</v>
      </c>
      <c r="E614" s="17" t="s">
        <v>659</v>
      </c>
      <c r="F614" s="17">
        <v>9360</v>
      </c>
      <c r="G614" s="17" t="s">
        <v>660</v>
      </c>
      <c r="H614" s="18">
        <v>0</v>
      </c>
      <c r="I614" s="18">
        <v>0</v>
      </c>
      <c r="J614" s="18">
        <v>0</v>
      </c>
    </row>
    <row r="615" spans="1:10" x14ac:dyDescent="0.25">
      <c r="A615" s="17">
        <v>201040214</v>
      </c>
      <c r="B615" s="17" t="s">
        <v>421</v>
      </c>
      <c r="C615" s="17" t="s">
        <v>395</v>
      </c>
      <c r="D615" s="17">
        <v>10</v>
      </c>
      <c r="E615" s="17" t="s">
        <v>395</v>
      </c>
      <c r="F615" s="17">
        <v>9356</v>
      </c>
      <c r="G615" s="17" t="s">
        <v>661</v>
      </c>
      <c r="H615" s="18">
        <v>0</v>
      </c>
      <c r="I615" s="18">
        <v>0</v>
      </c>
      <c r="J615" s="18">
        <v>0</v>
      </c>
    </row>
    <row r="616" spans="1:10" x14ac:dyDescent="0.25">
      <c r="A616" s="17">
        <v>201040214</v>
      </c>
      <c r="B616" s="17" t="s">
        <v>421</v>
      </c>
      <c r="C616" s="17" t="s">
        <v>395</v>
      </c>
      <c r="D616" s="17">
        <v>10</v>
      </c>
      <c r="E616" s="17" t="s">
        <v>395</v>
      </c>
      <c r="F616" s="17">
        <v>9357</v>
      </c>
      <c r="G616" s="17" t="s">
        <v>662</v>
      </c>
      <c r="H616" s="18">
        <v>0</v>
      </c>
      <c r="I616" s="18">
        <v>0</v>
      </c>
      <c r="J616" s="18">
        <v>0</v>
      </c>
    </row>
    <row r="617" spans="1:10" x14ac:dyDescent="0.25">
      <c r="A617" s="17">
        <v>201040214</v>
      </c>
      <c r="B617" s="17" t="s">
        <v>421</v>
      </c>
      <c r="C617" s="17" t="s">
        <v>395</v>
      </c>
      <c r="D617" s="17">
        <v>10</v>
      </c>
      <c r="E617" s="17" t="s">
        <v>395</v>
      </c>
      <c r="F617" s="17">
        <v>9358</v>
      </c>
      <c r="G617" s="17" t="s">
        <v>663</v>
      </c>
      <c r="H617" s="18">
        <v>0</v>
      </c>
      <c r="I617" s="18">
        <v>0</v>
      </c>
      <c r="J617" s="18">
        <v>0</v>
      </c>
    </row>
    <row r="618" spans="1:10" x14ac:dyDescent="0.25">
      <c r="A618" s="17">
        <v>201040214</v>
      </c>
      <c r="B618" s="17" t="s">
        <v>421</v>
      </c>
      <c r="C618" s="17" t="s">
        <v>664</v>
      </c>
      <c r="D618" s="17">
        <v>10</v>
      </c>
      <c r="E618" s="17" t="s">
        <v>664</v>
      </c>
      <c r="F618" s="17">
        <v>9354</v>
      </c>
      <c r="G618" s="17" t="s">
        <v>665</v>
      </c>
      <c r="H618" s="18">
        <v>0</v>
      </c>
      <c r="I618" s="18">
        <v>0</v>
      </c>
      <c r="J618" s="18">
        <v>0</v>
      </c>
    </row>
    <row r="619" spans="1:10" x14ac:dyDescent="0.25">
      <c r="A619" s="17">
        <v>201040214</v>
      </c>
      <c r="B619" s="17" t="s">
        <v>421</v>
      </c>
      <c r="C619" s="17" t="s">
        <v>664</v>
      </c>
      <c r="D619" s="17">
        <v>10</v>
      </c>
      <c r="E619" s="17" t="s">
        <v>664</v>
      </c>
      <c r="F619" s="17">
        <v>9355</v>
      </c>
      <c r="G619" s="17" t="s">
        <v>666</v>
      </c>
      <c r="H619" s="18">
        <v>0</v>
      </c>
      <c r="I619" s="18">
        <v>0</v>
      </c>
      <c r="J619" s="18">
        <v>0</v>
      </c>
    </row>
    <row r="620" spans="1:10" x14ac:dyDescent="0.25">
      <c r="A620" s="17">
        <v>201040214</v>
      </c>
      <c r="B620" s="17" t="s">
        <v>421</v>
      </c>
      <c r="C620" s="17" t="s">
        <v>664</v>
      </c>
      <c r="D620" s="17">
        <v>10</v>
      </c>
      <c r="E620" s="17" t="s">
        <v>664</v>
      </c>
      <c r="F620" s="17">
        <v>9369</v>
      </c>
      <c r="G620" s="17" t="s">
        <v>667</v>
      </c>
      <c r="H620" s="18">
        <v>0</v>
      </c>
      <c r="I620" s="18">
        <v>0</v>
      </c>
      <c r="J620" s="18">
        <v>0</v>
      </c>
    </row>
    <row r="621" spans="1:10" x14ac:dyDescent="0.25">
      <c r="A621" s="17">
        <v>201040214</v>
      </c>
      <c r="B621" s="17" t="s">
        <v>421</v>
      </c>
      <c r="C621" s="17" t="s">
        <v>142</v>
      </c>
      <c r="D621" s="17">
        <v>10</v>
      </c>
      <c r="E621" s="17" t="s">
        <v>142</v>
      </c>
      <c r="F621" s="17">
        <v>9368</v>
      </c>
      <c r="G621" s="17" t="s">
        <v>668</v>
      </c>
      <c r="H621" s="18">
        <v>0</v>
      </c>
      <c r="I621" s="18">
        <v>0</v>
      </c>
      <c r="J621" s="18">
        <v>0</v>
      </c>
    </row>
    <row r="622" spans="1:10" x14ac:dyDescent="0.25">
      <c r="A622" s="17">
        <v>201040214</v>
      </c>
      <c r="B622" s="17" t="s">
        <v>421</v>
      </c>
      <c r="C622" s="17" t="s">
        <v>142</v>
      </c>
      <c r="D622" s="17">
        <v>10</v>
      </c>
      <c r="E622" s="17" t="s">
        <v>142</v>
      </c>
      <c r="F622" s="17">
        <v>9391</v>
      </c>
      <c r="G622" s="17" t="s">
        <v>669</v>
      </c>
      <c r="H622" s="18">
        <v>0</v>
      </c>
      <c r="I622" s="18">
        <v>0</v>
      </c>
      <c r="J622" s="18">
        <v>0</v>
      </c>
    </row>
    <row r="623" spans="1:10" x14ac:dyDescent="0.25">
      <c r="A623" s="17">
        <v>201040214</v>
      </c>
      <c r="B623" s="17" t="s">
        <v>421</v>
      </c>
      <c r="C623" s="17" t="s">
        <v>670</v>
      </c>
      <c r="D623" s="17">
        <v>10</v>
      </c>
      <c r="E623" s="17" t="s">
        <v>670</v>
      </c>
      <c r="F623" s="17">
        <v>9351</v>
      </c>
      <c r="G623" s="17" t="s">
        <v>671</v>
      </c>
      <c r="H623" s="18">
        <v>0</v>
      </c>
      <c r="I623" s="18">
        <v>0</v>
      </c>
      <c r="J623" s="18">
        <v>0</v>
      </c>
    </row>
    <row r="624" spans="1:10" x14ac:dyDescent="0.25">
      <c r="A624" s="17">
        <v>201040214</v>
      </c>
      <c r="B624" s="17" t="s">
        <v>421</v>
      </c>
      <c r="C624" s="17" t="s">
        <v>670</v>
      </c>
      <c r="D624" s="17">
        <v>10</v>
      </c>
      <c r="E624" s="17" t="s">
        <v>670</v>
      </c>
      <c r="F624" s="17">
        <v>9387</v>
      </c>
      <c r="G624" s="17" t="s">
        <v>672</v>
      </c>
      <c r="H624" s="18">
        <v>0</v>
      </c>
      <c r="I624" s="18">
        <v>0</v>
      </c>
      <c r="J624" s="18">
        <v>0</v>
      </c>
    </row>
    <row r="625" spans="1:10" x14ac:dyDescent="0.25">
      <c r="A625" s="17">
        <v>201040214</v>
      </c>
      <c r="B625" s="17" t="s">
        <v>421</v>
      </c>
      <c r="C625" s="17" t="s">
        <v>670</v>
      </c>
      <c r="D625" s="17">
        <v>10</v>
      </c>
      <c r="E625" s="17" t="s">
        <v>670</v>
      </c>
      <c r="F625" s="17">
        <v>9388</v>
      </c>
      <c r="G625" s="17" t="s">
        <v>673</v>
      </c>
      <c r="H625" s="18">
        <v>0</v>
      </c>
      <c r="I625" s="18">
        <v>0</v>
      </c>
      <c r="J625" s="18">
        <v>0</v>
      </c>
    </row>
    <row r="626" spans="1:10" x14ac:dyDescent="0.25">
      <c r="A626" s="17">
        <v>201040214</v>
      </c>
      <c r="B626" s="17" t="s">
        <v>421</v>
      </c>
      <c r="C626" s="17" t="s">
        <v>670</v>
      </c>
      <c r="D626" s="17">
        <v>10</v>
      </c>
      <c r="E626" s="17" t="s">
        <v>670</v>
      </c>
      <c r="F626" s="17">
        <v>9389</v>
      </c>
      <c r="G626" s="17" t="s">
        <v>674</v>
      </c>
      <c r="H626" s="18">
        <v>0</v>
      </c>
      <c r="I626" s="18">
        <v>0</v>
      </c>
      <c r="J626" s="18">
        <v>0</v>
      </c>
    </row>
    <row r="627" spans="1:10" x14ac:dyDescent="0.25">
      <c r="A627" s="17">
        <v>201040214</v>
      </c>
      <c r="B627" s="17" t="s">
        <v>421</v>
      </c>
      <c r="C627" s="17" t="s">
        <v>670</v>
      </c>
      <c r="D627" s="17">
        <v>10</v>
      </c>
      <c r="E627" s="17" t="s">
        <v>670</v>
      </c>
      <c r="F627" s="17">
        <v>9390</v>
      </c>
      <c r="G627" s="17" t="s">
        <v>675</v>
      </c>
      <c r="H627" s="18">
        <v>0</v>
      </c>
      <c r="I627" s="18">
        <v>0</v>
      </c>
      <c r="J627" s="18">
        <v>0</v>
      </c>
    </row>
    <row r="628" spans="1:10" x14ac:dyDescent="0.25">
      <c r="A628" s="17">
        <v>201040214</v>
      </c>
      <c r="B628" s="17" t="s">
        <v>421</v>
      </c>
      <c r="C628" s="17" t="s">
        <v>144</v>
      </c>
      <c r="D628" s="17">
        <v>10</v>
      </c>
      <c r="E628" s="17" t="s">
        <v>144</v>
      </c>
      <c r="F628" s="17">
        <v>9350</v>
      </c>
      <c r="G628" s="17" t="s">
        <v>676</v>
      </c>
      <c r="H628" s="18">
        <v>0</v>
      </c>
      <c r="I628" s="18">
        <v>0</v>
      </c>
      <c r="J628" s="18">
        <v>0</v>
      </c>
    </row>
    <row r="629" spans="1:10" x14ac:dyDescent="0.25">
      <c r="A629" s="17">
        <v>201040214</v>
      </c>
      <c r="B629" s="17" t="s">
        <v>421</v>
      </c>
      <c r="C629" s="17" t="s">
        <v>677</v>
      </c>
      <c r="D629" s="17">
        <v>1</v>
      </c>
      <c r="E629" s="17" t="s">
        <v>166</v>
      </c>
      <c r="F629" s="17">
        <v>9349</v>
      </c>
      <c r="G629" s="17" t="s">
        <v>678</v>
      </c>
      <c r="H629" s="18">
        <v>0</v>
      </c>
      <c r="I629" s="18">
        <v>0</v>
      </c>
      <c r="J629" s="18">
        <v>0</v>
      </c>
    </row>
    <row r="630" spans="1:10" x14ac:dyDescent="0.25">
      <c r="A630" s="17">
        <v>201040214</v>
      </c>
      <c r="B630" s="17" t="s">
        <v>421</v>
      </c>
      <c r="C630" s="17" t="s">
        <v>167</v>
      </c>
      <c r="D630" s="17">
        <v>10</v>
      </c>
      <c r="E630" s="17" t="s">
        <v>167</v>
      </c>
      <c r="F630" s="17">
        <v>9392</v>
      </c>
      <c r="G630" s="17" t="s">
        <v>679</v>
      </c>
      <c r="H630" s="18">
        <v>0</v>
      </c>
      <c r="I630" s="18">
        <v>0</v>
      </c>
      <c r="J630" s="18">
        <v>0</v>
      </c>
    </row>
    <row r="631" spans="1:10" x14ac:dyDescent="0.25">
      <c r="A631" s="17">
        <v>201040214</v>
      </c>
      <c r="B631" s="17" t="s">
        <v>421</v>
      </c>
      <c r="C631" s="17" t="s">
        <v>680</v>
      </c>
      <c r="D631" s="17">
        <v>10</v>
      </c>
      <c r="E631" s="17" t="s">
        <v>680</v>
      </c>
      <c r="F631" s="17">
        <v>9399</v>
      </c>
      <c r="G631" s="17" t="s">
        <v>681</v>
      </c>
      <c r="H631" s="18">
        <v>0</v>
      </c>
      <c r="I631" s="18">
        <v>0</v>
      </c>
      <c r="J631" s="18">
        <v>0</v>
      </c>
    </row>
    <row r="632" spans="1:10" x14ac:dyDescent="0.25">
      <c r="A632" s="17">
        <v>201040214</v>
      </c>
      <c r="B632" s="17" t="s">
        <v>421</v>
      </c>
      <c r="C632" s="17" t="s">
        <v>680</v>
      </c>
      <c r="D632" s="17">
        <v>10</v>
      </c>
      <c r="E632" s="17" t="s">
        <v>680</v>
      </c>
      <c r="F632" s="17">
        <v>9400</v>
      </c>
      <c r="G632" s="17" t="s">
        <v>682</v>
      </c>
      <c r="H632" s="18">
        <v>0</v>
      </c>
      <c r="I632" s="18">
        <v>0</v>
      </c>
      <c r="J632" s="18">
        <v>0</v>
      </c>
    </row>
    <row r="633" spans="1:10" x14ac:dyDescent="0.25">
      <c r="A633" s="17">
        <v>201040214</v>
      </c>
      <c r="B633" s="17" t="s">
        <v>421</v>
      </c>
      <c r="C633" s="17" t="s">
        <v>680</v>
      </c>
      <c r="D633" s="17">
        <v>10</v>
      </c>
      <c r="E633" s="17" t="s">
        <v>680</v>
      </c>
      <c r="F633" s="17">
        <v>9412</v>
      </c>
      <c r="G633" s="17" t="s">
        <v>683</v>
      </c>
      <c r="H633" s="18">
        <v>0</v>
      </c>
      <c r="I633" s="18">
        <v>0</v>
      </c>
      <c r="J633" s="18">
        <v>0</v>
      </c>
    </row>
    <row r="634" spans="1:10" x14ac:dyDescent="0.25">
      <c r="A634" s="17">
        <v>201040214</v>
      </c>
      <c r="B634" s="17" t="s">
        <v>421</v>
      </c>
      <c r="C634" s="17" t="s">
        <v>247</v>
      </c>
      <c r="D634" s="17">
        <v>1</v>
      </c>
      <c r="E634" s="17" t="s">
        <v>145</v>
      </c>
      <c r="F634" s="17">
        <v>9403</v>
      </c>
      <c r="G634" s="17" t="s">
        <v>248</v>
      </c>
      <c r="H634" s="18">
        <v>0</v>
      </c>
      <c r="I634" s="18">
        <v>0</v>
      </c>
      <c r="J634" s="18">
        <v>0</v>
      </c>
    </row>
    <row r="635" spans="1:10" x14ac:dyDescent="0.25">
      <c r="A635" s="17">
        <v>201040214</v>
      </c>
      <c r="B635" s="17" t="s">
        <v>421</v>
      </c>
      <c r="C635" s="17" t="s">
        <v>247</v>
      </c>
      <c r="D635" s="17">
        <v>1</v>
      </c>
      <c r="E635" s="17" t="s">
        <v>145</v>
      </c>
      <c r="F635" s="17">
        <v>9404</v>
      </c>
      <c r="G635" s="17" t="s">
        <v>249</v>
      </c>
      <c r="H635" s="18">
        <v>0</v>
      </c>
      <c r="I635" s="18">
        <v>0</v>
      </c>
      <c r="J635" s="18">
        <v>0</v>
      </c>
    </row>
    <row r="636" spans="1:10" x14ac:dyDescent="0.25">
      <c r="A636" s="17">
        <v>201040214</v>
      </c>
      <c r="B636" s="17" t="s">
        <v>421</v>
      </c>
      <c r="C636" s="17" t="s">
        <v>124</v>
      </c>
      <c r="D636" s="17">
        <v>10</v>
      </c>
      <c r="E636" s="17" t="s">
        <v>124</v>
      </c>
      <c r="F636" s="17">
        <v>9413</v>
      </c>
      <c r="G636" s="17" t="s">
        <v>684</v>
      </c>
      <c r="H636" s="18">
        <v>0</v>
      </c>
      <c r="I636" s="18">
        <v>0</v>
      </c>
      <c r="J636" s="18">
        <v>0</v>
      </c>
    </row>
    <row r="637" spans="1:10" x14ac:dyDescent="0.25">
      <c r="A637" s="17">
        <v>201040214</v>
      </c>
      <c r="B637" s="17" t="s">
        <v>421</v>
      </c>
      <c r="C637" s="17" t="s">
        <v>124</v>
      </c>
      <c r="D637" s="17">
        <v>10</v>
      </c>
      <c r="E637" s="17" t="s">
        <v>124</v>
      </c>
      <c r="F637" s="17">
        <v>9414</v>
      </c>
      <c r="G637" s="17" t="s">
        <v>685</v>
      </c>
      <c r="H637" s="18">
        <v>0</v>
      </c>
      <c r="I637" s="18">
        <v>0</v>
      </c>
      <c r="J637" s="18">
        <v>0</v>
      </c>
    </row>
    <row r="638" spans="1:10" x14ac:dyDescent="0.25">
      <c r="A638" s="17">
        <v>201040214</v>
      </c>
      <c r="B638" s="17" t="s">
        <v>421</v>
      </c>
      <c r="C638" s="17" t="s">
        <v>124</v>
      </c>
      <c r="D638" s="17">
        <v>10</v>
      </c>
      <c r="E638" s="17" t="s">
        <v>124</v>
      </c>
      <c r="F638" s="17">
        <v>9415</v>
      </c>
      <c r="G638" s="17" t="s">
        <v>686</v>
      </c>
      <c r="H638" s="18">
        <v>0</v>
      </c>
      <c r="I638" s="18">
        <v>0</v>
      </c>
      <c r="J638" s="18">
        <v>0</v>
      </c>
    </row>
    <row r="639" spans="1:10" x14ac:dyDescent="0.25">
      <c r="A639" s="17">
        <v>201040214</v>
      </c>
      <c r="B639" s="17" t="s">
        <v>421</v>
      </c>
      <c r="C639" s="17" t="s">
        <v>124</v>
      </c>
      <c r="D639" s="17">
        <v>10</v>
      </c>
      <c r="E639" s="17" t="s">
        <v>124</v>
      </c>
      <c r="F639" s="17">
        <v>9416</v>
      </c>
      <c r="G639" s="17" t="s">
        <v>687</v>
      </c>
      <c r="H639" s="18">
        <v>0</v>
      </c>
      <c r="I639" s="18">
        <v>0</v>
      </c>
      <c r="J639" s="18">
        <v>0</v>
      </c>
    </row>
    <row r="640" spans="1:10" x14ac:dyDescent="0.25">
      <c r="A640" s="17">
        <v>201040209</v>
      </c>
      <c r="B640" s="17" t="s">
        <v>699</v>
      </c>
      <c r="C640" s="17">
        <v>2021</v>
      </c>
      <c r="D640" s="17">
        <v>1</v>
      </c>
      <c r="E640" s="17" t="s">
        <v>43</v>
      </c>
      <c r="F640" s="17"/>
      <c r="G640" s="17" t="s">
        <v>170</v>
      </c>
      <c r="H640" s="18"/>
      <c r="I640" s="18"/>
      <c r="J640" s="18">
        <v>-554</v>
      </c>
    </row>
    <row r="641" spans="1:10" x14ac:dyDescent="0.25">
      <c r="A641" s="17">
        <v>201040209</v>
      </c>
      <c r="B641" s="17" t="s">
        <v>699</v>
      </c>
      <c r="C641" s="17" t="s">
        <v>50</v>
      </c>
      <c r="D641" s="17">
        <v>1</v>
      </c>
      <c r="E641" s="17" t="s">
        <v>50</v>
      </c>
      <c r="F641" s="17">
        <v>8072</v>
      </c>
      <c r="G641" s="17" t="s">
        <v>209</v>
      </c>
      <c r="H641" s="18">
        <v>554</v>
      </c>
      <c r="I641" s="18"/>
      <c r="J641" s="18">
        <v>554</v>
      </c>
    </row>
    <row r="642" spans="1:10" x14ac:dyDescent="0.25">
      <c r="A642" s="17">
        <v>201040209</v>
      </c>
      <c r="B642" s="17" t="s">
        <v>699</v>
      </c>
      <c r="C642" s="17" t="s">
        <v>99</v>
      </c>
      <c r="D642" s="17">
        <v>1</v>
      </c>
      <c r="E642" s="17" t="s">
        <v>99</v>
      </c>
      <c r="F642" s="17">
        <v>8560</v>
      </c>
      <c r="G642" s="17" t="s">
        <v>689</v>
      </c>
      <c r="H642" s="18"/>
      <c r="I642" s="18">
        <v>1214.93</v>
      </c>
      <c r="J642" s="18">
        <v>-1214.93</v>
      </c>
    </row>
    <row r="643" spans="1:10" x14ac:dyDescent="0.25">
      <c r="A643" s="17">
        <v>201040209</v>
      </c>
      <c r="B643" s="17" t="s">
        <v>699</v>
      </c>
      <c r="C643" s="17" t="s">
        <v>52</v>
      </c>
      <c r="D643" s="17" t="s">
        <v>32</v>
      </c>
      <c r="E643" s="17" t="s">
        <v>52</v>
      </c>
      <c r="F643" s="17">
        <v>8312</v>
      </c>
      <c r="G643" s="17" t="s">
        <v>178</v>
      </c>
      <c r="H643" s="18">
        <v>1214.93</v>
      </c>
      <c r="I643" s="18"/>
      <c r="J643" s="18">
        <v>1214.93</v>
      </c>
    </row>
    <row r="644" spans="1:10" x14ac:dyDescent="0.25">
      <c r="A644" s="17">
        <v>201040209</v>
      </c>
      <c r="B644" s="17" t="s">
        <v>699</v>
      </c>
      <c r="C644" s="17" t="s">
        <v>467</v>
      </c>
      <c r="D644" s="17" t="s">
        <v>32</v>
      </c>
      <c r="E644" s="17" t="s">
        <v>467</v>
      </c>
      <c r="F644" s="17">
        <v>8555</v>
      </c>
      <c r="G644" s="17" t="s">
        <v>690</v>
      </c>
      <c r="H644" s="18"/>
      <c r="I644" s="18">
        <v>1214.93</v>
      </c>
      <c r="J644" s="18">
        <v>-1214.93</v>
      </c>
    </row>
    <row r="645" spans="1:10" x14ac:dyDescent="0.25">
      <c r="A645" s="17">
        <v>201040209</v>
      </c>
      <c r="B645" s="17" t="s">
        <v>699</v>
      </c>
      <c r="C645" s="17" t="s">
        <v>69</v>
      </c>
      <c r="D645" s="17" t="s">
        <v>215</v>
      </c>
      <c r="E645" s="17" t="s">
        <v>69</v>
      </c>
      <c r="F645" s="17">
        <v>8369</v>
      </c>
      <c r="G645" s="17" t="s">
        <v>180</v>
      </c>
      <c r="H645" s="18">
        <v>1214.93</v>
      </c>
      <c r="I645" s="18"/>
      <c r="J645" s="18">
        <v>1214.93</v>
      </c>
    </row>
    <row r="646" spans="1:10" x14ac:dyDescent="0.25">
      <c r="A646" s="17">
        <v>201040209</v>
      </c>
      <c r="B646" s="17" t="s">
        <v>699</v>
      </c>
      <c r="C646" s="17" t="s">
        <v>71</v>
      </c>
      <c r="D646" s="17" t="s">
        <v>215</v>
      </c>
      <c r="E646" s="17" t="s">
        <v>71</v>
      </c>
      <c r="F646" s="17">
        <v>8557</v>
      </c>
      <c r="G646" s="17" t="s">
        <v>691</v>
      </c>
      <c r="H646" s="18"/>
      <c r="I646" s="18">
        <v>1214.93</v>
      </c>
      <c r="J646" s="18">
        <v>-1214.93</v>
      </c>
    </row>
    <row r="647" spans="1:10" x14ac:dyDescent="0.25">
      <c r="A647" s="17">
        <v>201040209</v>
      </c>
      <c r="B647" s="17" t="s">
        <v>699</v>
      </c>
      <c r="C647" s="17" t="s">
        <v>78</v>
      </c>
      <c r="D647" s="17" t="s">
        <v>220</v>
      </c>
      <c r="E647" s="17" t="s">
        <v>78</v>
      </c>
      <c r="F647" s="17">
        <v>8572</v>
      </c>
      <c r="G647" s="17" t="s">
        <v>186</v>
      </c>
      <c r="H647" s="18">
        <v>1214.93</v>
      </c>
      <c r="I647" s="18"/>
      <c r="J647" s="18">
        <v>1214.93</v>
      </c>
    </row>
    <row r="648" spans="1:10" x14ac:dyDescent="0.25">
      <c r="A648" s="17">
        <v>201040209</v>
      </c>
      <c r="B648" s="17" t="s">
        <v>699</v>
      </c>
      <c r="C648" s="17" t="s">
        <v>81</v>
      </c>
      <c r="D648" s="17" t="s">
        <v>220</v>
      </c>
      <c r="E648" s="17" t="s">
        <v>81</v>
      </c>
      <c r="F648" s="17">
        <v>8562</v>
      </c>
      <c r="G648" s="17" t="s">
        <v>692</v>
      </c>
      <c r="H648" s="18"/>
      <c r="I648" s="18">
        <v>2040.01</v>
      </c>
      <c r="J648" s="18">
        <v>-2040.01</v>
      </c>
    </row>
    <row r="649" spans="1:10" x14ac:dyDescent="0.25">
      <c r="A649" s="17">
        <v>201040209</v>
      </c>
      <c r="B649" s="17" t="s">
        <v>699</v>
      </c>
      <c r="C649" s="17" t="s">
        <v>86</v>
      </c>
      <c r="D649" s="17" t="s">
        <v>218</v>
      </c>
      <c r="E649" s="17" t="s">
        <v>86</v>
      </c>
      <c r="F649" s="17">
        <v>8661</v>
      </c>
      <c r="G649" s="17" t="s">
        <v>187</v>
      </c>
      <c r="H649" s="18">
        <v>2040.01</v>
      </c>
      <c r="I649" s="18"/>
      <c r="J649" s="18">
        <v>2040.01</v>
      </c>
    </row>
    <row r="650" spans="1:10" x14ac:dyDescent="0.25">
      <c r="A650" s="17">
        <v>201040209</v>
      </c>
      <c r="B650" s="17" t="s">
        <v>699</v>
      </c>
      <c r="C650" s="17" t="s">
        <v>157</v>
      </c>
      <c r="D650" s="17" t="s">
        <v>218</v>
      </c>
      <c r="E650" s="17" t="s">
        <v>157</v>
      </c>
      <c r="F650" s="17">
        <v>8714</v>
      </c>
      <c r="G650" s="17" t="s">
        <v>693</v>
      </c>
      <c r="H650" s="18"/>
      <c r="I650" s="18">
        <v>2040.01</v>
      </c>
      <c r="J650" s="18">
        <v>-2040.01</v>
      </c>
    </row>
    <row r="651" spans="1:10" x14ac:dyDescent="0.25">
      <c r="A651" s="17">
        <v>201040209</v>
      </c>
      <c r="B651" s="17" t="s">
        <v>699</v>
      </c>
      <c r="C651" s="17" t="s">
        <v>230</v>
      </c>
      <c r="D651" s="17" t="s">
        <v>227</v>
      </c>
      <c r="E651" s="17" t="s">
        <v>230</v>
      </c>
      <c r="F651" s="17">
        <v>8886</v>
      </c>
      <c r="G651" s="17" t="s">
        <v>231</v>
      </c>
      <c r="H651" s="18">
        <v>2040.01</v>
      </c>
      <c r="I651" s="18"/>
      <c r="J651" s="18">
        <v>2040.01</v>
      </c>
    </row>
    <row r="652" spans="1:10" x14ac:dyDescent="0.25">
      <c r="A652" s="17">
        <v>201040209</v>
      </c>
      <c r="B652" s="17" t="s">
        <v>699</v>
      </c>
      <c r="C652" s="17" t="s">
        <v>93</v>
      </c>
      <c r="D652" s="17" t="s">
        <v>227</v>
      </c>
      <c r="E652" s="17" t="s">
        <v>93</v>
      </c>
      <c r="F652" s="17">
        <v>8984</v>
      </c>
      <c r="G652" s="17" t="s">
        <v>694</v>
      </c>
      <c r="H652" s="18"/>
      <c r="I652" s="18">
        <v>2040</v>
      </c>
      <c r="J652" s="18">
        <v>-2040</v>
      </c>
    </row>
    <row r="653" spans="1:10" x14ac:dyDescent="0.25">
      <c r="A653" s="17">
        <v>201040209</v>
      </c>
      <c r="B653" s="17" t="s">
        <v>699</v>
      </c>
      <c r="C653" s="17" t="s">
        <v>95</v>
      </c>
      <c r="D653" s="17" t="s">
        <v>232</v>
      </c>
      <c r="E653" s="17" t="s">
        <v>95</v>
      </c>
      <c r="F653" s="17">
        <v>8987</v>
      </c>
      <c r="G653" s="17" t="s">
        <v>234</v>
      </c>
      <c r="H653" s="18">
        <v>2040</v>
      </c>
      <c r="I653" s="18"/>
      <c r="J653" s="18">
        <v>2040</v>
      </c>
    </row>
    <row r="654" spans="1:10" x14ac:dyDescent="0.25">
      <c r="A654" s="17">
        <v>201040209</v>
      </c>
      <c r="B654" s="17" t="s">
        <v>699</v>
      </c>
      <c r="C654" s="17" t="s">
        <v>137</v>
      </c>
      <c r="D654" s="17" t="s">
        <v>232</v>
      </c>
      <c r="E654" s="17" t="s">
        <v>137</v>
      </c>
      <c r="F654" s="17">
        <v>8985</v>
      </c>
      <c r="G654" s="17" t="s">
        <v>695</v>
      </c>
      <c r="H654" s="18"/>
      <c r="I654" s="18">
        <v>2040.01</v>
      </c>
      <c r="J654" s="18">
        <v>-2040.01</v>
      </c>
    </row>
    <row r="655" spans="1:10" x14ac:dyDescent="0.25">
      <c r="A655" s="17">
        <v>201040209</v>
      </c>
      <c r="B655" s="17" t="s">
        <v>699</v>
      </c>
      <c r="C655" s="17" t="s">
        <v>96</v>
      </c>
      <c r="D655" s="17" t="s">
        <v>238</v>
      </c>
      <c r="E655" s="17" t="s">
        <v>96</v>
      </c>
      <c r="F655" s="17">
        <v>9152</v>
      </c>
      <c r="G655" s="17" t="s">
        <v>192</v>
      </c>
      <c r="H655" s="18">
        <v>2040.01</v>
      </c>
      <c r="I655" s="18"/>
      <c r="J655" s="18">
        <v>2040.01</v>
      </c>
    </row>
    <row r="656" spans="1:10" x14ac:dyDescent="0.25">
      <c r="A656" s="17">
        <v>201040209</v>
      </c>
      <c r="B656" s="17" t="s">
        <v>699</v>
      </c>
      <c r="C656" s="17" t="s">
        <v>139</v>
      </c>
      <c r="D656" s="17" t="s">
        <v>238</v>
      </c>
      <c r="E656" s="17" t="s">
        <v>139</v>
      </c>
      <c r="F656" s="17">
        <v>9193</v>
      </c>
      <c r="G656" s="17" t="s">
        <v>696</v>
      </c>
      <c r="H656" s="18"/>
      <c r="I656" s="18">
        <v>2065.98</v>
      </c>
      <c r="J656" s="18">
        <v>-2065.98</v>
      </c>
    </row>
    <row r="657" spans="1:15" x14ac:dyDescent="0.25">
      <c r="A657" s="17">
        <v>201040209</v>
      </c>
      <c r="B657" s="17" t="s">
        <v>699</v>
      </c>
      <c r="C657" s="17" t="s">
        <v>123</v>
      </c>
      <c r="D657" s="17" t="s">
        <v>242</v>
      </c>
      <c r="E657" s="17" t="s">
        <v>123</v>
      </c>
      <c r="F657" s="17">
        <v>9284</v>
      </c>
      <c r="G657" s="17" t="s">
        <v>195</v>
      </c>
      <c r="H657" s="18">
        <v>2065.98</v>
      </c>
      <c r="I657" s="18"/>
      <c r="J657" s="18">
        <v>2065.98</v>
      </c>
    </row>
    <row r="658" spans="1:15" x14ac:dyDescent="0.25">
      <c r="A658" s="17">
        <v>201040209</v>
      </c>
      <c r="B658" s="17" t="s">
        <v>699</v>
      </c>
      <c r="C658" s="17" t="s">
        <v>125</v>
      </c>
      <c r="D658" s="17" t="s">
        <v>242</v>
      </c>
      <c r="E658" s="17" t="s">
        <v>125</v>
      </c>
      <c r="F658" s="17">
        <v>9325</v>
      </c>
      <c r="G658" s="17" t="s">
        <v>697</v>
      </c>
      <c r="H658" s="18"/>
      <c r="I658" s="18">
        <v>2040.01</v>
      </c>
      <c r="J658" s="18">
        <v>-2040.01</v>
      </c>
    </row>
    <row r="659" spans="1:15" x14ac:dyDescent="0.25">
      <c r="A659" s="17">
        <v>201040209</v>
      </c>
      <c r="B659" s="17" t="s">
        <v>699</v>
      </c>
      <c r="C659" s="17" t="s">
        <v>126</v>
      </c>
      <c r="D659" s="17">
        <v>10</v>
      </c>
      <c r="E659" s="17" t="s">
        <v>126</v>
      </c>
      <c r="F659" s="17">
        <v>9424</v>
      </c>
      <c r="G659" s="17" t="s">
        <v>197</v>
      </c>
      <c r="H659" s="18">
        <v>2040.01</v>
      </c>
      <c r="I659" s="18"/>
      <c r="J659" s="18">
        <v>2040.01</v>
      </c>
    </row>
    <row r="660" spans="1:15" x14ac:dyDescent="0.25">
      <c r="A660" s="17">
        <v>201040209</v>
      </c>
      <c r="B660" s="17" t="s">
        <v>699</v>
      </c>
      <c r="C660" s="17" t="s">
        <v>124</v>
      </c>
      <c r="D660" s="17">
        <v>10</v>
      </c>
      <c r="E660" s="17" t="s">
        <v>124</v>
      </c>
      <c r="F660" s="17">
        <v>9475</v>
      </c>
      <c r="G660" s="17" t="s">
        <v>698</v>
      </c>
      <c r="H660" s="18"/>
      <c r="I660" s="18">
        <v>2106.7600000000002</v>
      </c>
      <c r="J660" s="18">
        <v>-2106.7600000000002</v>
      </c>
    </row>
    <row r="661" spans="1:15" x14ac:dyDescent="0.25">
      <c r="A661" s="25">
        <v>201040214</v>
      </c>
      <c r="B661" s="25" t="s">
        <v>421</v>
      </c>
      <c r="C661" s="25" t="s">
        <v>124</v>
      </c>
      <c r="D661" s="25">
        <v>10</v>
      </c>
      <c r="E661" s="25" t="s">
        <v>124</v>
      </c>
      <c r="F661" s="25">
        <v>9470</v>
      </c>
      <c r="G661" s="25" t="s">
        <v>688</v>
      </c>
      <c r="H661" s="28">
        <v>0</v>
      </c>
      <c r="I661" s="28">
        <v>0</v>
      </c>
      <c r="J661" s="28">
        <v>0</v>
      </c>
    </row>
    <row r="663" spans="1:15" ht="13" thickBot="1" x14ac:dyDescent="0.3">
      <c r="J663" s="26">
        <f>+SUM(J2:J661)</f>
        <v>-2360.09</v>
      </c>
    </row>
    <row r="664" spans="1:15" ht="13" thickTop="1" x14ac:dyDescent="0.25"/>
    <row r="668" spans="1:15" ht="14.5" x14ac:dyDescent="0.35">
      <c r="B668" s="1" t="s">
        <v>171</v>
      </c>
      <c r="C668"/>
      <c r="D668" s="1" t="s">
        <v>198</v>
      </c>
      <c r="E668"/>
      <c r="F668"/>
      <c r="G668"/>
      <c r="H668"/>
      <c r="I668"/>
      <c r="J668"/>
      <c r="K668"/>
      <c r="L668"/>
      <c r="M668"/>
      <c r="N668"/>
      <c r="O668"/>
    </row>
    <row r="669" spans="1:15" ht="14.5" x14ac:dyDescent="0.35">
      <c r="B669" s="1" t="s">
        <v>38</v>
      </c>
      <c r="C669" s="1" t="s">
        <v>30</v>
      </c>
      <c r="D669">
        <v>1</v>
      </c>
      <c r="E669" t="s">
        <v>32</v>
      </c>
      <c r="F669" t="s">
        <v>215</v>
      </c>
      <c r="G669" t="s">
        <v>220</v>
      </c>
      <c r="H669" t="s">
        <v>218</v>
      </c>
      <c r="I669" t="s">
        <v>227</v>
      </c>
      <c r="J669" t="s">
        <v>232</v>
      </c>
      <c r="K669" t="s">
        <v>238</v>
      </c>
      <c r="L669" t="s">
        <v>242</v>
      </c>
      <c r="M669">
        <v>10</v>
      </c>
      <c r="N669" t="s">
        <v>3</v>
      </c>
      <c r="O669"/>
    </row>
    <row r="670" spans="1:15" ht="14.5" x14ac:dyDescent="0.35">
      <c r="B670">
        <v>201040204</v>
      </c>
      <c r="C670" t="s">
        <v>44</v>
      </c>
      <c r="D670" s="2">
        <v>-3.34</v>
      </c>
      <c r="E670" s="2">
        <v>-6.1</v>
      </c>
      <c r="F670" s="2">
        <v>3.3099999999999996</v>
      </c>
      <c r="G670" s="2">
        <v>-8.36</v>
      </c>
      <c r="H670" s="2">
        <v>14.49</v>
      </c>
      <c r="I670" s="2"/>
      <c r="J670" s="2">
        <v>-12.559999999999999</v>
      </c>
      <c r="K670" s="2">
        <v>10.870000000000001</v>
      </c>
      <c r="L670" s="2">
        <v>-14.76</v>
      </c>
      <c r="M670" s="2">
        <v>0.34999999999999787</v>
      </c>
      <c r="N670" s="2">
        <v>-16.099999999999998</v>
      </c>
      <c r="O670"/>
    </row>
    <row r="671" spans="1:15" ht="14.5" x14ac:dyDescent="0.35">
      <c r="B671">
        <v>201040206</v>
      </c>
      <c r="C671" t="s">
        <v>168</v>
      </c>
      <c r="D671" s="2">
        <v>-6.4</v>
      </c>
      <c r="E671" s="2">
        <v>6.4</v>
      </c>
      <c r="F671" s="2"/>
      <c r="G671" s="2"/>
      <c r="H671" s="2">
        <v>-3.2</v>
      </c>
      <c r="I671" s="2">
        <v>-28.8</v>
      </c>
      <c r="J671" s="2">
        <v>32</v>
      </c>
      <c r="K671" s="2"/>
      <c r="L671" s="2">
        <v>-4.71</v>
      </c>
      <c r="M671" s="2">
        <v>3.0000000000000249E-2</v>
      </c>
      <c r="N671" s="2">
        <v>-4.68</v>
      </c>
      <c r="O671"/>
    </row>
    <row r="672" spans="1:15" ht="14.5" x14ac:dyDescent="0.35">
      <c r="B672">
        <v>201040214</v>
      </c>
      <c r="C672" t="s">
        <v>421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/>
    </row>
    <row r="673" spans="2:15" ht="14.5" x14ac:dyDescent="0.35">
      <c r="B673">
        <v>201040216</v>
      </c>
      <c r="C673" t="s">
        <v>97</v>
      </c>
      <c r="D673" s="2">
        <v>-168.32</v>
      </c>
      <c r="E673" s="2">
        <v>-6.1500000000000021</v>
      </c>
      <c r="F673" s="2">
        <v>21.810000000000002</v>
      </c>
      <c r="G673" s="2">
        <v>0</v>
      </c>
      <c r="H673" s="2">
        <v>-6.08</v>
      </c>
      <c r="I673" s="2">
        <v>6.08</v>
      </c>
      <c r="J673" s="2">
        <v>-14.160000000000011</v>
      </c>
      <c r="K673" s="2">
        <v>13.99</v>
      </c>
      <c r="L673" s="2">
        <v>0</v>
      </c>
      <c r="M673" s="2">
        <v>0</v>
      </c>
      <c r="N673" s="2">
        <v>-152.82999999999998</v>
      </c>
      <c r="O673"/>
    </row>
    <row r="674" spans="2:15" ht="14.5" x14ac:dyDescent="0.35">
      <c r="B674">
        <v>201040217</v>
      </c>
      <c r="C674" t="s">
        <v>146</v>
      </c>
      <c r="D674" s="2">
        <v>-136.54000000000002</v>
      </c>
      <c r="E674" s="2">
        <v>-155.07999999999996</v>
      </c>
      <c r="F674" s="2">
        <v>96.519999999999982</v>
      </c>
      <c r="G674" s="2">
        <v>-16.580000000000013</v>
      </c>
      <c r="H674" s="2">
        <v>-392.96999999999991</v>
      </c>
      <c r="I674" s="2">
        <v>371.31999999999994</v>
      </c>
      <c r="J674" s="2">
        <v>-419.24999999999994</v>
      </c>
      <c r="K674" s="2">
        <v>523.39</v>
      </c>
      <c r="L674" s="2">
        <v>16.670000000000009</v>
      </c>
      <c r="M674" s="2">
        <v>32.799999999999997</v>
      </c>
      <c r="N674" s="2">
        <v>-79.719999999999928</v>
      </c>
      <c r="O674"/>
    </row>
    <row r="675" spans="2:15" ht="14.5" x14ac:dyDescent="0.35">
      <c r="B675">
        <v>201040209</v>
      </c>
      <c r="C675" t="s">
        <v>699</v>
      </c>
      <c r="D675" s="2">
        <v>-1214.93</v>
      </c>
      <c r="E675" s="2">
        <v>0</v>
      </c>
      <c r="F675" s="2">
        <v>0</v>
      </c>
      <c r="G675" s="2">
        <v>-825.07999999999993</v>
      </c>
      <c r="H675" s="2">
        <v>0</v>
      </c>
      <c r="I675" s="2">
        <v>9.9999999999909051E-3</v>
      </c>
      <c r="J675" s="2">
        <v>-9.9999999999909051E-3</v>
      </c>
      <c r="K675" s="2">
        <v>-25.970000000000027</v>
      </c>
      <c r="L675" s="2">
        <v>25.970000000000027</v>
      </c>
      <c r="M675" s="2">
        <v>-66.750000000000227</v>
      </c>
      <c r="N675" s="2">
        <v>-2106.7600000000002</v>
      </c>
      <c r="O675"/>
    </row>
    <row r="676" spans="2:15" ht="14.5" x14ac:dyDescent="0.35">
      <c r="B676" t="s">
        <v>3</v>
      </c>
      <c r="C676"/>
      <c r="D676" s="2">
        <v>-1529.5300000000002</v>
      </c>
      <c r="E676" s="2">
        <v>-160.92999999999995</v>
      </c>
      <c r="F676" s="2">
        <v>121.63999999999999</v>
      </c>
      <c r="G676" s="2">
        <v>-850.02</v>
      </c>
      <c r="H676" s="2">
        <v>-387.75999999999993</v>
      </c>
      <c r="I676" s="2">
        <v>348.6099999999999</v>
      </c>
      <c r="J676" s="2">
        <v>-413.97999999999996</v>
      </c>
      <c r="K676" s="2">
        <v>522.28</v>
      </c>
      <c r="L676" s="2">
        <v>23.170000000000037</v>
      </c>
      <c r="M676" s="2">
        <v>-33.570000000000235</v>
      </c>
      <c r="N676" s="2">
        <v>-2360.09</v>
      </c>
      <c r="O676"/>
    </row>
    <row r="677" spans="2:15" ht="14.5" x14ac:dyDescent="0.35">
      <c r="B677"/>
      <c r="C677"/>
      <c r="D677"/>
      <c r="E677"/>
      <c r="F677"/>
      <c r="G677"/>
      <c r="H677"/>
      <c r="I677"/>
    </row>
    <row r="678" spans="2:15" ht="14.5" x14ac:dyDescent="0.35">
      <c r="B678"/>
      <c r="C678"/>
      <c r="D678"/>
      <c r="E678"/>
      <c r="F678"/>
      <c r="G678"/>
      <c r="H678"/>
      <c r="I678"/>
    </row>
    <row r="679" spans="2:15" ht="14.5" x14ac:dyDescent="0.35">
      <c r="B679" s="27" t="s">
        <v>38</v>
      </c>
      <c r="C679" s="27" t="s">
        <v>30</v>
      </c>
      <c r="D679" s="27">
        <v>1</v>
      </c>
      <c r="E679" s="27">
        <v>2</v>
      </c>
      <c r="F679" s="27">
        <v>3</v>
      </c>
      <c r="G679" s="27">
        <v>4</v>
      </c>
      <c r="H679" s="27">
        <v>5</v>
      </c>
      <c r="I679" s="27">
        <v>6</v>
      </c>
      <c r="J679" s="27">
        <v>7</v>
      </c>
      <c r="K679" s="27">
        <v>8</v>
      </c>
      <c r="L679" s="27">
        <v>9</v>
      </c>
      <c r="M679" s="27">
        <v>10</v>
      </c>
    </row>
    <row r="680" spans="2:15" ht="14.5" x14ac:dyDescent="0.35">
      <c r="B680">
        <v>201040204</v>
      </c>
      <c r="C680" t="s">
        <v>44</v>
      </c>
      <c r="D680" s="2">
        <f>+D670</f>
        <v>-3.34</v>
      </c>
      <c r="E680" s="2">
        <f>+D680+E670</f>
        <v>-9.44</v>
      </c>
      <c r="F680" s="2">
        <f t="shared" ref="F680:M680" si="8">+E680+F670</f>
        <v>-6.13</v>
      </c>
      <c r="G680" s="2">
        <f t="shared" si="8"/>
        <v>-14.489999999999998</v>
      </c>
      <c r="H680" s="2">
        <f t="shared" si="8"/>
        <v>0</v>
      </c>
      <c r="I680" s="2">
        <f t="shared" si="8"/>
        <v>0</v>
      </c>
      <c r="J680" s="2">
        <f t="shared" si="8"/>
        <v>-12.559999999999999</v>
      </c>
      <c r="K680" s="2">
        <f t="shared" si="8"/>
        <v>-1.6899999999999977</v>
      </c>
      <c r="L680" s="2">
        <f t="shared" si="8"/>
        <v>-16.449999999999996</v>
      </c>
      <c r="M680" s="2">
        <f t="shared" si="8"/>
        <v>-16.099999999999998</v>
      </c>
    </row>
    <row r="681" spans="2:15" ht="14.5" x14ac:dyDescent="0.35">
      <c r="B681">
        <v>201040206</v>
      </c>
      <c r="C681" t="s">
        <v>168</v>
      </c>
      <c r="D681" s="2">
        <f t="shared" ref="D681:D685" si="9">+D671</f>
        <v>-6.4</v>
      </c>
      <c r="E681" s="2">
        <f t="shared" ref="E681:M681" si="10">+D681+E671</f>
        <v>0</v>
      </c>
      <c r="F681" s="2">
        <f t="shared" si="10"/>
        <v>0</v>
      </c>
      <c r="G681" s="2">
        <f t="shared" si="10"/>
        <v>0</v>
      </c>
      <c r="H681" s="2">
        <f t="shared" si="10"/>
        <v>-3.2</v>
      </c>
      <c r="I681" s="2">
        <f t="shared" si="10"/>
        <v>-32</v>
      </c>
      <c r="J681" s="2">
        <f t="shared" si="10"/>
        <v>0</v>
      </c>
      <c r="K681" s="2">
        <f t="shared" si="10"/>
        <v>0</v>
      </c>
      <c r="L681" s="2">
        <f t="shared" si="10"/>
        <v>-4.71</v>
      </c>
      <c r="M681" s="2">
        <f t="shared" si="10"/>
        <v>-4.68</v>
      </c>
    </row>
    <row r="682" spans="2:15" ht="14.5" x14ac:dyDescent="0.35">
      <c r="B682">
        <v>201040214</v>
      </c>
      <c r="C682" t="s">
        <v>421</v>
      </c>
      <c r="D682" s="2">
        <f t="shared" si="9"/>
        <v>0</v>
      </c>
      <c r="E682" s="2">
        <f t="shared" ref="E682:M682" si="11">+D682+E672</f>
        <v>0</v>
      </c>
      <c r="F682" s="2">
        <f t="shared" si="11"/>
        <v>0</v>
      </c>
      <c r="G682" s="2">
        <f t="shared" si="11"/>
        <v>0</v>
      </c>
      <c r="H682" s="2">
        <f t="shared" si="11"/>
        <v>0</v>
      </c>
      <c r="I682" s="2">
        <f t="shared" si="11"/>
        <v>0</v>
      </c>
      <c r="J682" s="2">
        <f t="shared" si="11"/>
        <v>0</v>
      </c>
      <c r="K682" s="2">
        <f t="shared" si="11"/>
        <v>0</v>
      </c>
      <c r="L682" s="2">
        <f t="shared" si="11"/>
        <v>0</v>
      </c>
      <c r="M682" s="2">
        <f t="shared" si="11"/>
        <v>0</v>
      </c>
    </row>
    <row r="683" spans="2:15" ht="14.5" x14ac:dyDescent="0.35">
      <c r="B683">
        <v>201040216</v>
      </c>
      <c r="C683" t="s">
        <v>97</v>
      </c>
      <c r="D683" s="2">
        <f t="shared" si="9"/>
        <v>-168.32</v>
      </c>
      <c r="E683" s="2">
        <f t="shared" ref="E683:M683" si="12">+D683+E673</f>
        <v>-174.47</v>
      </c>
      <c r="F683" s="2">
        <f t="shared" si="12"/>
        <v>-152.66</v>
      </c>
      <c r="G683" s="2">
        <f t="shared" si="12"/>
        <v>-152.66</v>
      </c>
      <c r="H683" s="2">
        <f t="shared" si="12"/>
        <v>-158.74</v>
      </c>
      <c r="I683" s="2">
        <f t="shared" si="12"/>
        <v>-152.66</v>
      </c>
      <c r="J683" s="2">
        <f t="shared" si="12"/>
        <v>-166.82</v>
      </c>
      <c r="K683" s="2">
        <f t="shared" si="12"/>
        <v>-152.82999999999998</v>
      </c>
      <c r="L683" s="2">
        <f t="shared" si="12"/>
        <v>-152.82999999999998</v>
      </c>
      <c r="M683" s="2">
        <f t="shared" si="12"/>
        <v>-152.82999999999998</v>
      </c>
    </row>
    <row r="684" spans="2:15" ht="14.5" x14ac:dyDescent="0.35">
      <c r="B684">
        <v>201040217</v>
      </c>
      <c r="C684" t="s">
        <v>146</v>
      </c>
      <c r="D684" s="2">
        <f t="shared" si="9"/>
        <v>-136.54000000000002</v>
      </c>
      <c r="E684" s="2">
        <f t="shared" ref="E684:M685" si="13">+D684+E674</f>
        <v>-291.62</v>
      </c>
      <c r="F684" s="2">
        <f t="shared" si="13"/>
        <v>-195.10000000000002</v>
      </c>
      <c r="G684" s="2">
        <f t="shared" si="13"/>
        <v>-211.68000000000004</v>
      </c>
      <c r="H684" s="2">
        <f t="shared" si="13"/>
        <v>-604.65</v>
      </c>
      <c r="I684" s="2">
        <f t="shared" si="13"/>
        <v>-233.33000000000004</v>
      </c>
      <c r="J684" s="2">
        <f t="shared" si="13"/>
        <v>-652.57999999999993</v>
      </c>
      <c r="K684" s="2">
        <f t="shared" si="13"/>
        <v>-129.18999999999994</v>
      </c>
      <c r="L684" s="2">
        <f t="shared" si="13"/>
        <v>-112.51999999999992</v>
      </c>
      <c r="M684" s="2">
        <f t="shared" si="13"/>
        <v>-79.719999999999928</v>
      </c>
    </row>
    <row r="685" spans="2:15" ht="14.5" x14ac:dyDescent="0.35">
      <c r="B685">
        <v>201040209</v>
      </c>
      <c r="C685" t="s">
        <v>699</v>
      </c>
      <c r="D685" s="2">
        <f t="shared" si="9"/>
        <v>-1214.93</v>
      </c>
      <c r="E685" s="2">
        <f t="shared" si="13"/>
        <v>-1214.93</v>
      </c>
      <c r="F685" s="2">
        <f t="shared" si="13"/>
        <v>-1214.93</v>
      </c>
      <c r="G685" s="2">
        <f t="shared" si="13"/>
        <v>-2040.01</v>
      </c>
      <c r="H685" s="2">
        <f t="shared" si="13"/>
        <v>-2040.01</v>
      </c>
      <c r="I685" s="2">
        <f t="shared" si="13"/>
        <v>-2040</v>
      </c>
      <c r="J685" s="2">
        <f t="shared" si="13"/>
        <v>-2040.01</v>
      </c>
      <c r="K685" s="2">
        <f t="shared" si="13"/>
        <v>-2065.98</v>
      </c>
      <c r="L685" s="2">
        <f t="shared" si="13"/>
        <v>-2040.01</v>
      </c>
      <c r="M685" s="2">
        <f t="shared" si="13"/>
        <v>-2106.7600000000002</v>
      </c>
    </row>
    <row r="686" spans="2:15" ht="15" thickBot="1" x14ac:dyDescent="0.4">
      <c r="B686"/>
      <c r="C686"/>
      <c r="D686" s="16">
        <f>+SUM(D680:D685)</f>
        <v>-1529.5300000000002</v>
      </c>
      <c r="E686" s="16">
        <f t="shared" ref="E686:M686" si="14">+SUM(E680:E685)</f>
        <v>-1690.46</v>
      </c>
      <c r="F686" s="16">
        <f t="shared" si="14"/>
        <v>-1568.8200000000002</v>
      </c>
      <c r="G686" s="16">
        <f t="shared" si="14"/>
        <v>-2418.84</v>
      </c>
      <c r="H686" s="16">
        <f t="shared" si="14"/>
        <v>-2806.6</v>
      </c>
      <c r="I686" s="16">
        <f t="shared" si="14"/>
        <v>-2457.9899999999998</v>
      </c>
      <c r="J686" s="16">
        <f t="shared" si="14"/>
        <v>-2871.97</v>
      </c>
      <c r="K686" s="16">
        <f t="shared" si="14"/>
        <v>-2349.69</v>
      </c>
      <c r="L686" s="16">
        <f t="shared" si="14"/>
        <v>-2326.52</v>
      </c>
      <c r="M686" s="16">
        <f t="shared" si="14"/>
        <v>-2360.09</v>
      </c>
    </row>
    <row r="687" spans="2:15" ht="15" thickTop="1" x14ac:dyDescent="0.35">
      <c r="B687"/>
      <c r="C687"/>
      <c r="D687"/>
    </row>
    <row r="688" spans="2:15" ht="14.5" x14ac:dyDescent="0.35">
      <c r="B688"/>
      <c r="C688"/>
      <c r="D688"/>
    </row>
  </sheetData>
  <autoFilter ref="A1:J661" xr:uid="{029E7D22-B9E4-422B-A4B1-AC40721B6D2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08C0-906F-4E20-9A26-66B0C1C77213}">
  <dimension ref="A1:O22"/>
  <sheetViews>
    <sheetView zoomScale="85" zoomScaleNormal="85" workbookViewId="0">
      <pane ySplit="16" topLeftCell="A17" activePane="bottomLeft" state="frozen"/>
      <selection activeCell="B683" sqref="B683"/>
      <selection pane="bottomLeft" activeCell="B683" sqref="B683"/>
    </sheetView>
  </sheetViews>
  <sheetFormatPr baseColWidth="10" defaultRowHeight="14.5" x14ac:dyDescent="0.35"/>
  <cols>
    <col min="1" max="1" width="20.08984375" bestFit="1" customWidth="1"/>
    <col min="2" max="2" width="48.7265625" bestFit="1" customWidth="1"/>
    <col min="3" max="14" width="8.7265625" bestFit="1" customWidth="1"/>
    <col min="15" max="15" width="12.6328125" bestFit="1" customWidth="1"/>
  </cols>
  <sheetData>
    <row r="1" spans="1:15" x14ac:dyDescent="0.35">
      <c r="A1" s="1" t="s">
        <v>783</v>
      </c>
      <c r="B1" t="s">
        <v>779</v>
      </c>
    </row>
    <row r="3" spans="1:15" x14ac:dyDescent="0.35">
      <c r="A3" s="1" t="s">
        <v>171</v>
      </c>
      <c r="C3" s="1" t="s">
        <v>778</v>
      </c>
    </row>
    <row r="4" spans="1:15" x14ac:dyDescent="0.35">
      <c r="A4" s="1" t="s">
        <v>38</v>
      </c>
      <c r="B4" s="1" t="s">
        <v>30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3</v>
      </c>
    </row>
    <row r="5" spans="1:15" x14ac:dyDescent="0.35">
      <c r="A5">
        <v>201040206</v>
      </c>
      <c r="B5" t="s">
        <v>168</v>
      </c>
      <c r="C5">
        <v>-6.4</v>
      </c>
      <c r="G5">
        <v>-3.2</v>
      </c>
      <c r="H5">
        <v>-32</v>
      </c>
      <c r="K5">
        <v>-4.71</v>
      </c>
      <c r="L5">
        <v>-4.68</v>
      </c>
      <c r="M5">
        <v>-51.2</v>
      </c>
      <c r="O5">
        <v>-102.19</v>
      </c>
    </row>
    <row r="6" spans="1:15" x14ac:dyDescent="0.35">
      <c r="A6">
        <v>201040207</v>
      </c>
      <c r="B6" t="s">
        <v>770</v>
      </c>
      <c r="N6">
        <v>-350</v>
      </c>
      <c r="O6">
        <v>-350</v>
      </c>
    </row>
    <row r="7" spans="1:15" x14ac:dyDescent="0.35">
      <c r="A7">
        <v>201040209</v>
      </c>
      <c r="B7" t="s">
        <v>170</v>
      </c>
      <c r="C7">
        <v>-1214.93</v>
      </c>
      <c r="D7">
        <v>-1214.93</v>
      </c>
      <c r="E7">
        <v>-1214.93</v>
      </c>
      <c r="F7">
        <v>-2040.01</v>
      </c>
      <c r="G7">
        <v>-2040.01</v>
      </c>
      <c r="H7">
        <v>-2040</v>
      </c>
      <c r="I7">
        <v>-2040.01</v>
      </c>
      <c r="J7">
        <v>-2065.98</v>
      </c>
      <c r="K7">
        <v>-2040.01</v>
      </c>
      <c r="L7">
        <v>-2106.7600000000002</v>
      </c>
      <c r="M7">
        <v>-2112.81</v>
      </c>
      <c r="N7">
        <v>-2093.48</v>
      </c>
      <c r="O7">
        <v>-22223.86</v>
      </c>
    </row>
    <row r="8" spans="1:15" x14ac:dyDescent="0.35">
      <c r="A8">
        <v>201040216</v>
      </c>
      <c r="B8" t="s">
        <v>97</v>
      </c>
      <c r="C8">
        <v>-16.38</v>
      </c>
      <c r="D8">
        <v>-22.53</v>
      </c>
      <c r="E8">
        <v>-0.72</v>
      </c>
      <c r="F8">
        <v>-0.72</v>
      </c>
      <c r="G8">
        <v>-16.649999999999999</v>
      </c>
      <c r="H8">
        <v>-0.72</v>
      </c>
      <c r="I8">
        <v>-14.88</v>
      </c>
      <c r="J8">
        <v>-0.89</v>
      </c>
      <c r="K8">
        <v>-0.89</v>
      </c>
      <c r="L8">
        <v>-0.89</v>
      </c>
      <c r="M8">
        <v>-157.86999999999998</v>
      </c>
      <c r="O8">
        <v>-233.14</v>
      </c>
    </row>
    <row r="9" spans="1:15" x14ac:dyDescent="0.35">
      <c r="A9">
        <v>201040217</v>
      </c>
      <c r="B9" t="s">
        <v>146</v>
      </c>
      <c r="C9">
        <v>-58.88000000000001</v>
      </c>
      <c r="D9">
        <v>-407.34999999999997</v>
      </c>
      <c r="E9">
        <v>-189.88</v>
      </c>
      <c r="F9">
        <v>-206.44000000000003</v>
      </c>
      <c r="G9">
        <v>-599.40999999999985</v>
      </c>
      <c r="H9">
        <v>-230.84</v>
      </c>
      <c r="I9">
        <v>-647.77</v>
      </c>
      <c r="J9">
        <v>-161.51000000000002</v>
      </c>
      <c r="K9">
        <v>-112.51999999999998</v>
      </c>
      <c r="L9">
        <v>-79.72</v>
      </c>
      <c r="M9">
        <v>-248.27000000000004</v>
      </c>
      <c r="N9">
        <v>-370.35000000000008</v>
      </c>
      <c r="O9">
        <v>-3312.9399999999996</v>
      </c>
    </row>
    <row r="10" spans="1:15" x14ac:dyDescent="0.35">
      <c r="A10">
        <v>201040204</v>
      </c>
      <c r="B10" t="s">
        <v>44</v>
      </c>
      <c r="C10">
        <v>-3.34</v>
      </c>
      <c r="D10">
        <v>-9.44</v>
      </c>
      <c r="E10">
        <v>-6.13</v>
      </c>
      <c r="F10">
        <v>-14.49</v>
      </c>
      <c r="I10">
        <v>-12.56</v>
      </c>
      <c r="J10">
        <v>-1.69</v>
      </c>
      <c r="K10">
        <v>-16.45</v>
      </c>
      <c r="L10">
        <v>-16.100000000000001</v>
      </c>
      <c r="M10">
        <v>-10.42</v>
      </c>
      <c r="N10">
        <v>-5.04</v>
      </c>
      <c r="O10">
        <v>-95.66</v>
      </c>
    </row>
    <row r="11" spans="1:15" x14ac:dyDescent="0.35">
      <c r="A11" t="s">
        <v>3</v>
      </c>
      <c r="C11">
        <v>-1299.9300000000003</v>
      </c>
      <c r="D11">
        <v>-1654.25</v>
      </c>
      <c r="E11">
        <v>-1411.6600000000003</v>
      </c>
      <c r="F11">
        <v>-2261.66</v>
      </c>
      <c r="G11">
        <v>-2659.27</v>
      </c>
      <c r="H11">
        <v>-2303.56</v>
      </c>
      <c r="I11">
        <v>-2715.22</v>
      </c>
      <c r="J11">
        <v>-2230.0700000000002</v>
      </c>
      <c r="K11">
        <v>-2174.58</v>
      </c>
      <c r="L11">
        <v>-2208.1499999999996</v>
      </c>
      <c r="M11">
        <v>-2580.5699999999997</v>
      </c>
      <c r="N11">
        <v>-2818.87</v>
      </c>
      <c r="O11">
        <v>-26317.789999999997</v>
      </c>
    </row>
    <row r="16" spans="1:15" ht="15" thickBot="1" x14ac:dyDescent="0.4">
      <c r="A16" s="47" t="s">
        <v>38</v>
      </c>
      <c r="B16" s="47" t="s">
        <v>30</v>
      </c>
      <c r="C16" s="47">
        <v>1</v>
      </c>
      <c r="D16" s="47">
        <v>2</v>
      </c>
      <c r="E16" s="47">
        <v>3</v>
      </c>
      <c r="F16" s="47">
        <v>4</v>
      </c>
      <c r="G16" s="47">
        <v>5</v>
      </c>
      <c r="H16" s="47">
        <v>6</v>
      </c>
      <c r="I16" s="47">
        <v>7</v>
      </c>
      <c r="J16" s="47">
        <v>8</v>
      </c>
      <c r="K16" s="47">
        <v>9</v>
      </c>
      <c r="L16" s="47">
        <v>10</v>
      </c>
      <c r="M16" s="47">
        <v>11</v>
      </c>
      <c r="N16" s="47">
        <v>12</v>
      </c>
      <c r="O16" s="47" t="s">
        <v>3</v>
      </c>
    </row>
    <row r="17" spans="1:15" x14ac:dyDescent="0.35">
      <c r="A17" s="33">
        <v>201040204</v>
      </c>
      <c r="B17" t="s">
        <v>44</v>
      </c>
      <c r="C17">
        <v>-3.34</v>
      </c>
      <c r="D17">
        <v>-9.44</v>
      </c>
      <c r="E17">
        <v>-6.13</v>
      </c>
      <c r="F17">
        <v>-14.49</v>
      </c>
      <c r="I17">
        <v>-12.56</v>
      </c>
      <c r="J17">
        <v>-1.69</v>
      </c>
      <c r="K17">
        <v>-16.45</v>
      </c>
      <c r="L17">
        <v>-16.100000000000001</v>
      </c>
      <c r="M17">
        <v>-10.42</v>
      </c>
      <c r="N17">
        <v>-5.04</v>
      </c>
    </row>
    <row r="18" spans="1:15" x14ac:dyDescent="0.35">
      <c r="A18" s="33">
        <v>201040206</v>
      </c>
      <c r="B18" t="s">
        <v>168</v>
      </c>
      <c r="C18">
        <v>-6.4</v>
      </c>
      <c r="G18">
        <v>-3.2</v>
      </c>
      <c r="H18">
        <v>-32</v>
      </c>
      <c r="K18">
        <v>-4.71</v>
      </c>
      <c r="L18">
        <v>-4.68</v>
      </c>
      <c r="M18">
        <v>-51.2</v>
      </c>
      <c r="O18">
        <v>-102.19</v>
      </c>
    </row>
    <row r="19" spans="1:15" x14ac:dyDescent="0.35">
      <c r="A19" s="33">
        <v>201040207</v>
      </c>
      <c r="B19" t="s">
        <v>770</v>
      </c>
      <c r="N19">
        <v>-350</v>
      </c>
    </row>
    <row r="20" spans="1:15" x14ac:dyDescent="0.35">
      <c r="A20" s="33">
        <v>201040216</v>
      </c>
      <c r="B20" t="s">
        <v>97</v>
      </c>
      <c r="C20">
        <v>-16.38</v>
      </c>
      <c r="D20">
        <v>-22.53</v>
      </c>
      <c r="E20">
        <v>-0.72</v>
      </c>
      <c r="F20">
        <v>-0.72</v>
      </c>
      <c r="G20">
        <v>-16.649999999999999</v>
      </c>
      <c r="H20">
        <v>-0.72</v>
      </c>
      <c r="I20">
        <v>-14.88</v>
      </c>
      <c r="J20">
        <v>-0.89</v>
      </c>
      <c r="K20">
        <v>-0.89</v>
      </c>
      <c r="L20">
        <v>-0.89</v>
      </c>
      <c r="M20">
        <v>-157.86999999999998</v>
      </c>
      <c r="O20">
        <v>-233.14</v>
      </c>
    </row>
    <row r="21" spans="1:15" x14ac:dyDescent="0.35">
      <c r="A21" s="33">
        <v>201040217</v>
      </c>
      <c r="B21" t="s">
        <v>146</v>
      </c>
      <c r="C21">
        <v>-58.88000000000001</v>
      </c>
      <c r="D21">
        <v>-407.34999999999997</v>
      </c>
      <c r="E21">
        <v>-189.88</v>
      </c>
      <c r="F21">
        <v>-206.44000000000003</v>
      </c>
      <c r="G21">
        <v>-599.40999999999985</v>
      </c>
      <c r="H21">
        <v>-230.84</v>
      </c>
      <c r="I21">
        <v>-647.77</v>
      </c>
      <c r="J21">
        <v>-161.51000000000002</v>
      </c>
      <c r="K21">
        <v>-112.51999999999998</v>
      </c>
      <c r="L21">
        <v>-79.72</v>
      </c>
      <c r="M21">
        <v>-248.27000000000004</v>
      </c>
      <c r="N21">
        <v>-370.35000000000008</v>
      </c>
      <c r="O21">
        <v>-3312.9399999999996</v>
      </c>
    </row>
    <row r="22" spans="1:15" x14ac:dyDescent="0.35">
      <c r="A22" s="33">
        <v>201040209</v>
      </c>
      <c r="B22" t="s">
        <v>170</v>
      </c>
      <c r="C22">
        <v>-1214.93</v>
      </c>
      <c r="D22">
        <v>-1214.93</v>
      </c>
      <c r="E22">
        <v>-1214.93</v>
      </c>
      <c r="F22">
        <v>-2040.01</v>
      </c>
      <c r="G22">
        <v>-2040.01</v>
      </c>
      <c r="H22">
        <v>-2040</v>
      </c>
      <c r="I22">
        <v>-2040.01</v>
      </c>
      <c r="J22">
        <v>-2065.98</v>
      </c>
      <c r="K22">
        <v>-2040.01</v>
      </c>
      <c r="L22">
        <v>-2106.7600000000002</v>
      </c>
      <c r="M22">
        <v>-2112.81</v>
      </c>
      <c r="N22">
        <v>-2093.48</v>
      </c>
      <c r="O22">
        <v>-22223.86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1564-57B7-4633-8C50-0B7CBB0A5B00}">
  <dimension ref="A1:M347"/>
  <sheetViews>
    <sheetView topLeftCell="D326" workbookViewId="0">
      <selection activeCell="B683" sqref="B683"/>
    </sheetView>
  </sheetViews>
  <sheetFormatPr baseColWidth="10" defaultColWidth="11.36328125" defaultRowHeight="14" x14ac:dyDescent="0.3"/>
  <cols>
    <col min="1" max="1" width="11.36328125" style="36"/>
    <col min="2" max="2" width="10" style="36" bestFit="1" customWidth="1"/>
    <col min="3" max="3" width="44.7265625" style="36" bestFit="1" customWidth="1"/>
    <col min="4" max="7" width="11.36328125" style="36"/>
    <col min="8" max="8" width="62.7265625" style="36" customWidth="1"/>
    <col min="9" max="16384" width="11.36328125" style="36"/>
  </cols>
  <sheetData>
    <row r="1" spans="1:13" s="42" customFormat="1" ht="13" x14ac:dyDescent="0.3">
      <c r="A1" s="37" t="s">
        <v>776</v>
      </c>
      <c r="B1" s="37" t="s">
        <v>38</v>
      </c>
      <c r="C1" s="37" t="s">
        <v>30</v>
      </c>
      <c r="D1" s="38" t="s">
        <v>2</v>
      </c>
      <c r="E1" s="39" t="s">
        <v>31</v>
      </c>
      <c r="F1" s="39" t="s">
        <v>778</v>
      </c>
      <c r="G1" s="37" t="s">
        <v>39</v>
      </c>
      <c r="H1" s="40" t="s">
        <v>40</v>
      </c>
      <c r="I1" s="41" t="s">
        <v>41</v>
      </c>
      <c r="J1" s="41" t="s">
        <v>42</v>
      </c>
      <c r="K1" s="41" t="s">
        <v>33</v>
      </c>
      <c r="L1" s="41" t="s">
        <v>777</v>
      </c>
      <c r="M1" s="41" t="s">
        <v>40</v>
      </c>
    </row>
    <row r="2" spans="1:13" s="34" customFormat="1" ht="12.5" x14ac:dyDescent="0.25">
      <c r="B2" s="34">
        <v>201040216</v>
      </c>
      <c r="C2" s="34" t="s">
        <v>97</v>
      </c>
      <c r="D2" s="34">
        <v>2021</v>
      </c>
      <c r="E2" s="34" t="s">
        <v>43</v>
      </c>
      <c r="H2" s="34" t="s">
        <v>97</v>
      </c>
      <c r="I2" s="35"/>
      <c r="J2" s="35"/>
      <c r="K2" s="35">
        <v>-16.46</v>
      </c>
      <c r="L2" s="35">
        <v>-16.46</v>
      </c>
      <c r="M2" s="34" t="s">
        <v>780</v>
      </c>
    </row>
    <row r="3" spans="1:13" s="34" customFormat="1" ht="12.5" x14ac:dyDescent="0.25">
      <c r="B3" s="34">
        <v>201040216</v>
      </c>
      <c r="C3" s="34" t="s">
        <v>97</v>
      </c>
      <c r="D3" s="34" t="s">
        <v>45</v>
      </c>
      <c r="E3" s="34" t="s">
        <v>199</v>
      </c>
      <c r="F3" s="34">
        <f>MONTH(D3)</f>
        <v>1</v>
      </c>
      <c r="G3" s="34">
        <v>8111</v>
      </c>
      <c r="H3" s="34" t="s">
        <v>200</v>
      </c>
      <c r="I3" s="35"/>
      <c r="J3" s="35">
        <v>0.5</v>
      </c>
      <c r="K3" s="35">
        <v>-0.5</v>
      </c>
      <c r="L3" s="35">
        <v>-16.96</v>
      </c>
      <c r="M3" s="34" t="s">
        <v>779</v>
      </c>
    </row>
    <row r="4" spans="1:13" s="34" customFormat="1" ht="12.5" x14ac:dyDescent="0.25">
      <c r="B4" s="34">
        <v>201040216</v>
      </c>
      <c r="C4" s="34" t="s">
        <v>97</v>
      </c>
      <c r="D4" s="34" t="s">
        <v>45</v>
      </c>
      <c r="E4" s="34" t="s">
        <v>199</v>
      </c>
      <c r="F4" s="34">
        <f t="shared" ref="F4:F66" si="0">MONTH(D4)</f>
        <v>1</v>
      </c>
      <c r="G4" s="34">
        <v>8116</v>
      </c>
      <c r="H4" s="34" t="s">
        <v>201</v>
      </c>
      <c r="I4" s="35"/>
      <c r="J4" s="35">
        <v>-0.5</v>
      </c>
      <c r="K4" s="35">
        <v>0.5</v>
      </c>
      <c r="L4" s="35">
        <v>-16.46</v>
      </c>
      <c r="M4" s="34" t="s">
        <v>779</v>
      </c>
    </row>
    <row r="5" spans="1:13" s="34" customFormat="1" ht="12.5" x14ac:dyDescent="0.25">
      <c r="B5" s="34">
        <v>201040216</v>
      </c>
      <c r="C5" s="34" t="s">
        <v>97</v>
      </c>
      <c r="D5" s="34" t="s">
        <v>45</v>
      </c>
      <c r="E5" s="34" t="s">
        <v>45</v>
      </c>
      <c r="F5" s="34">
        <f t="shared" si="0"/>
        <v>1</v>
      </c>
      <c r="G5" s="34">
        <v>8001</v>
      </c>
      <c r="H5" s="34" t="s">
        <v>202</v>
      </c>
      <c r="I5" s="35"/>
      <c r="J5" s="35">
        <v>1.04</v>
      </c>
      <c r="K5" s="35">
        <v>-1.04</v>
      </c>
      <c r="L5" s="35">
        <v>-17.5</v>
      </c>
      <c r="M5" s="34" t="s">
        <v>779</v>
      </c>
    </row>
    <row r="6" spans="1:13" s="34" customFormat="1" ht="12.5" x14ac:dyDescent="0.25">
      <c r="B6" s="34">
        <v>201040216</v>
      </c>
      <c r="C6" s="34" t="s">
        <v>97</v>
      </c>
      <c r="D6" s="34" t="s">
        <v>45</v>
      </c>
      <c r="E6" s="34" t="s">
        <v>45</v>
      </c>
      <c r="F6" s="34">
        <f t="shared" si="0"/>
        <v>1</v>
      </c>
      <c r="G6" s="34">
        <v>8002</v>
      </c>
      <c r="H6" s="34" t="s">
        <v>203</v>
      </c>
      <c r="I6" s="35"/>
      <c r="J6" s="35">
        <v>0.17</v>
      </c>
      <c r="K6" s="35">
        <v>-0.17</v>
      </c>
      <c r="L6" s="35">
        <v>-17.670000000000002</v>
      </c>
      <c r="M6" s="34" t="s">
        <v>779</v>
      </c>
    </row>
    <row r="7" spans="1:13" s="34" customFormat="1" ht="12.5" x14ac:dyDescent="0.25">
      <c r="B7" s="34">
        <v>201040216</v>
      </c>
      <c r="C7" s="34" t="s">
        <v>97</v>
      </c>
      <c r="D7" s="34" t="s">
        <v>45</v>
      </c>
      <c r="E7" s="34" t="s">
        <v>45</v>
      </c>
      <c r="F7" s="34">
        <f t="shared" si="0"/>
        <v>1</v>
      </c>
      <c r="G7" s="34">
        <v>8003</v>
      </c>
      <c r="H7" s="34" t="s">
        <v>204</v>
      </c>
      <c r="I7" s="35"/>
      <c r="J7" s="35">
        <v>0.44</v>
      </c>
      <c r="K7" s="35">
        <v>-0.44</v>
      </c>
      <c r="L7" s="35">
        <v>-18.11</v>
      </c>
      <c r="M7" s="34" t="s">
        <v>779</v>
      </c>
    </row>
    <row r="8" spans="1:13" s="34" customFormat="1" ht="12.5" x14ac:dyDescent="0.25">
      <c r="B8" s="34">
        <v>201040216</v>
      </c>
      <c r="C8" s="34" t="s">
        <v>97</v>
      </c>
      <c r="D8" s="34" t="s">
        <v>45</v>
      </c>
      <c r="E8" s="34" t="s">
        <v>45</v>
      </c>
      <c r="F8" s="34">
        <f t="shared" si="0"/>
        <v>1</v>
      </c>
      <c r="G8" s="34">
        <v>8004</v>
      </c>
      <c r="H8" s="34" t="s">
        <v>205</v>
      </c>
      <c r="I8" s="35"/>
      <c r="J8" s="35">
        <v>0.5</v>
      </c>
      <c r="K8" s="35">
        <v>-0.5</v>
      </c>
      <c r="L8" s="35">
        <v>-18.61</v>
      </c>
      <c r="M8" s="34" t="s">
        <v>779</v>
      </c>
    </row>
    <row r="9" spans="1:13" s="34" customFormat="1" ht="12.5" x14ac:dyDescent="0.25">
      <c r="B9" s="34">
        <v>201040216</v>
      </c>
      <c r="C9" s="34" t="s">
        <v>97</v>
      </c>
      <c r="D9" s="34" t="s">
        <v>45</v>
      </c>
      <c r="E9" s="34" t="s">
        <v>45</v>
      </c>
      <c r="F9" s="34">
        <f t="shared" si="0"/>
        <v>1</v>
      </c>
      <c r="G9" s="34">
        <v>8005</v>
      </c>
      <c r="H9" s="34" t="s">
        <v>206</v>
      </c>
      <c r="I9" s="35"/>
      <c r="J9" s="35">
        <v>0.22</v>
      </c>
      <c r="K9" s="35">
        <v>-0.22</v>
      </c>
      <c r="L9" s="35">
        <v>-18.829999999999998</v>
      </c>
      <c r="M9" s="34" t="s">
        <v>779</v>
      </c>
    </row>
    <row r="10" spans="1:13" s="34" customFormat="1" ht="12.5" x14ac:dyDescent="0.25">
      <c r="B10" s="34">
        <v>201040216</v>
      </c>
      <c r="C10" s="34" t="s">
        <v>97</v>
      </c>
      <c r="D10" s="34" t="s">
        <v>45</v>
      </c>
      <c r="E10" s="34" t="s">
        <v>45</v>
      </c>
      <c r="F10" s="34">
        <f t="shared" si="0"/>
        <v>1</v>
      </c>
      <c r="G10" s="34">
        <v>8015</v>
      </c>
      <c r="H10" s="34" t="s">
        <v>201</v>
      </c>
      <c r="I10" s="35"/>
      <c r="J10" s="35">
        <v>-1.04</v>
      </c>
      <c r="K10" s="35">
        <v>1.04</v>
      </c>
      <c r="L10" s="35">
        <v>-17.79</v>
      </c>
      <c r="M10" s="34" t="s">
        <v>779</v>
      </c>
    </row>
    <row r="11" spans="1:13" s="34" customFormat="1" ht="12.5" x14ac:dyDescent="0.25">
      <c r="B11" s="34">
        <v>201040216</v>
      </c>
      <c r="C11" s="34" t="s">
        <v>97</v>
      </c>
      <c r="D11" s="34" t="s">
        <v>45</v>
      </c>
      <c r="E11" s="34" t="s">
        <v>45</v>
      </c>
      <c r="F11" s="34">
        <f t="shared" si="0"/>
        <v>1</v>
      </c>
      <c r="G11" s="34">
        <v>8016</v>
      </c>
      <c r="H11" s="34" t="s">
        <v>201</v>
      </c>
      <c r="I11" s="35"/>
      <c r="J11" s="35">
        <v>-0.17</v>
      </c>
      <c r="K11" s="35">
        <v>0.17</v>
      </c>
      <c r="L11" s="35">
        <v>-17.62</v>
      </c>
      <c r="M11" s="34" t="s">
        <v>779</v>
      </c>
    </row>
    <row r="12" spans="1:13" s="34" customFormat="1" ht="12.5" x14ac:dyDescent="0.25">
      <c r="B12" s="34">
        <v>201040216</v>
      </c>
      <c r="C12" s="34" t="s">
        <v>97</v>
      </c>
      <c r="D12" s="34" t="s">
        <v>45</v>
      </c>
      <c r="E12" s="34" t="s">
        <v>45</v>
      </c>
      <c r="F12" s="34">
        <f t="shared" si="0"/>
        <v>1</v>
      </c>
      <c r="G12" s="34">
        <v>8018</v>
      </c>
      <c r="H12" s="34" t="s">
        <v>201</v>
      </c>
      <c r="I12" s="35"/>
      <c r="J12" s="35">
        <v>-0.44</v>
      </c>
      <c r="K12" s="35">
        <v>0.44</v>
      </c>
      <c r="L12" s="35">
        <v>-17.18</v>
      </c>
      <c r="M12" s="34" t="s">
        <v>779</v>
      </c>
    </row>
    <row r="13" spans="1:13" s="34" customFormat="1" ht="12.5" x14ac:dyDescent="0.25">
      <c r="B13" s="34">
        <v>201040216</v>
      </c>
      <c r="C13" s="34" t="s">
        <v>97</v>
      </c>
      <c r="D13" s="34" t="s">
        <v>147</v>
      </c>
      <c r="E13" s="34" t="s">
        <v>147</v>
      </c>
      <c r="F13" s="34">
        <f t="shared" si="0"/>
        <v>1</v>
      </c>
      <c r="G13" s="34">
        <v>8006</v>
      </c>
      <c r="H13" s="34" t="s">
        <v>207</v>
      </c>
      <c r="I13" s="35"/>
      <c r="J13" s="35">
        <v>0.67</v>
      </c>
      <c r="K13" s="35">
        <v>-0.67</v>
      </c>
      <c r="L13" s="35">
        <v>-17.850000000000001</v>
      </c>
      <c r="M13" s="34" t="s">
        <v>779</v>
      </c>
    </row>
    <row r="14" spans="1:13" s="34" customFormat="1" ht="12.5" x14ac:dyDescent="0.25">
      <c r="B14" s="34">
        <v>201040216</v>
      </c>
      <c r="C14" s="34" t="s">
        <v>97</v>
      </c>
      <c r="D14" s="34" t="s">
        <v>147</v>
      </c>
      <c r="E14" s="34" t="s">
        <v>147</v>
      </c>
      <c r="F14" s="34">
        <f t="shared" si="0"/>
        <v>1</v>
      </c>
      <c r="G14" s="34">
        <v>8017</v>
      </c>
      <c r="H14" s="34" t="s">
        <v>201</v>
      </c>
      <c r="I14" s="35"/>
      <c r="J14" s="35">
        <v>-0.67</v>
      </c>
      <c r="K14" s="35">
        <v>0.67</v>
      </c>
      <c r="L14" s="35">
        <v>-17.18</v>
      </c>
      <c r="M14" s="34" t="s">
        <v>779</v>
      </c>
    </row>
    <row r="15" spans="1:13" s="34" customFormat="1" ht="12.5" x14ac:dyDescent="0.25">
      <c r="B15" s="34">
        <v>201040216</v>
      </c>
      <c r="C15" s="34" t="s">
        <v>97</v>
      </c>
      <c r="D15" s="34" t="s">
        <v>47</v>
      </c>
      <c r="E15" s="34" t="s">
        <v>47</v>
      </c>
      <c r="F15" s="34">
        <f t="shared" si="0"/>
        <v>1</v>
      </c>
      <c r="G15" s="34">
        <v>7973</v>
      </c>
      <c r="H15" s="34" t="s">
        <v>208</v>
      </c>
      <c r="I15" s="35"/>
      <c r="J15" s="35">
        <v>1.66</v>
      </c>
      <c r="K15" s="35">
        <v>-1.66</v>
      </c>
      <c r="L15" s="35">
        <v>-18.84</v>
      </c>
      <c r="M15" s="34" t="s">
        <v>779</v>
      </c>
    </row>
    <row r="16" spans="1:13" s="34" customFormat="1" ht="12.5" x14ac:dyDescent="0.25">
      <c r="B16" s="34">
        <v>201040216</v>
      </c>
      <c r="C16" s="34" t="s">
        <v>97</v>
      </c>
      <c r="D16" s="34" t="s">
        <v>50</v>
      </c>
      <c r="E16" s="34" t="s">
        <v>50</v>
      </c>
      <c r="F16" s="34">
        <f t="shared" si="0"/>
        <v>1</v>
      </c>
      <c r="G16" s="34">
        <v>8072</v>
      </c>
      <c r="H16" s="34" t="s">
        <v>209</v>
      </c>
      <c r="I16" s="35">
        <v>16.46</v>
      </c>
      <c r="J16" s="35"/>
      <c r="K16" s="35">
        <v>16.46</v>
      </c>
      <c r="L16" s="35">
        <v>-2.38</v>
      </c>
      <c r="M16" s="34" t="s">
        <v>782</v>
      </c>
    </row>
    <row r="17" spans="2:13" s="34" customFormat="1" ht="12.5" x14ac:dyDescent="0.25">
      <c r="B17" s="34">
        <v>201040216</v>
      </c>
      <c r="C17" s="34" t="s">
        <v>97</v>
      </c>
      <c r="D17" s="34" t="s">
        <v>54</v>
      </c>
      <c r="E17" s="34" t="s">
        <v>54</v>
      </c>
      <c r="F17" s="34">
        <f t="shared" si="0"/>
        <v>1</v>
      </c>
      <c r="G17" s="34">
        <v>8021</v>
      </c>
      <c r="H17" s="34" t="s">
        <v>210</v>
      </c>
      <c r="I17" s="35"/>
      <c r="J17" s="35">
        <v>10.5</v>
      </c>
      <c r="K17" s="35">
        <v>-10.5</v>
      </c>
      <c r="L17" s="35">
        <v>-12.88</v>
      </c>
      <c r="M17" s="34" t="s">
        <v>779</v>
      </c>
    </row>
    <row r="18" spans="2:13" s="34" customFormat="1" ht="12.5" x14ac:dyDescent="0.25">
      <c r="B18" s="34">
        <v>201040216</v>
      </c>
      <c r="C18" s="34" t="s">
        <v>97</v>
      </c>
      <c r="D18" s="34" t="s">
        <v>98</v>
      </c>
      <c r="E18" s="34" t="s">
        <v>98</v>
      </c>
      <c r="F18" s="34">
        <f t="shared" si="0"/>
        <v>1</v>
      </c>
      <c r="G18" s="34">
        <v>8057</v>
      </c>
      <c r="H18" s="34" t="s">
        <v>211</v>
      </c>
      <c r="I18" s="35"/>
      <c r="J18" s="35">
        <v>3.5</v>
      </c>
      <c r="K18" s="35">
        <v>-3.5</v>
      </c>
      <c r="L18" s="35">
        <v>-16.38</v>
      </c>
      <c r="M18" s="34" t="s">
        <v>779</v>
      </c>
    </row>
    <row r="19" spans="2:13" s="34" customFormat="1" ht="12.5" x14ac:dyDescent="0.25">
      <c r="B19" s="34">
        <v>201040216</v>
      </c>
      <c r="C19" s="34" t="s">
        <v>97</v>
      </c>
      <c r="D19" s="34" t="s">
        <v>56</v>
      </c>
      <c r="E19" s="34" t="s">
        <v>56</v>
      </c>
      <c r="F19" s="34">
        <f t="shared" si="0"/>
        <v>2</v>
      </c>
      <c r="G19" s="34">
        <v>8110</v>
      </c>
      <c r="H19" s="34" t="s">
        <v>212</v>
      </c>
      <c r="I19" s="35"/>
      <c r="J19" s="35">
        <v>0.22</v>
      </c>
      <c r="K19" s="35">
        <v>-0.22</v>
      </c>
      <c r="L19" s="35">
        <v>-16.600000000000001</v>
      </c>
      <c r="M19" s="34" t="s">
        <v>779</v>
      </c>
    </row>
    <row r="20" spans="2:13" s="34" customFormat="1" ht="12.5" x14ac:dyDescent="0.25">
      <c r="B20" s="34">
        <v>201040216</v>
      </c>
      <c r="C20" s="34" t="s">
        <v>97</v>
      </c>
      <c r="D20" s="34" t="s">
        <v>56</v>
      </c>
      <c r="E20" s="34" t="s">
        <v>56</v>
      </c>
      <c r="F20" s="34">
        <f t="shared" si="0"/>
        <v>2</v>
      </c>
      <c r="G20" s="34">
        <v>8117</v>
      </c>
      <c r="H20" s="34" t="s">
        <v>200</v>
      </c>
      <c r="I20" s="35"/>
      <c r="J20" s="35">
        <v>0.5</v>
      </c>
      <c r="K20" s="35">
        <v>-0.5</v>
      </c>
      <c r="L20" s="35">
        <v>-17.100000000000001</v>
      </c>
      <c r="M20" s="34" t="s">
        <v>779</v>
      </c>
    </row>
    <row r="21" spans="2:13" s="34" customFormat="1" ht="12.5" x14ac:dyDescent="0.25">
      <c r="B21" s="34">
        <v>201040216</v>
      </c>
      <c r="C21" s="34" t="s">
        <v>97</v>
      </c>
      <c r="D21" s="34" t="s">
        <v>58</v>
      </c>
      <c r="E21" s="34" t="s">
        <v>58</v>
      </c>
      <c r="F21" s="34">
        <f t="shared" si="0"/>
        <v>2</v>
      </c>
      <c r="G21" s="34">
        <v>8062</v>
      </c>
      <c r="H21" s="34" t="s">
        <v>213</v>
      </c>
      <c r="I21" s="35"/>
      <c r="J21" s="35">
        <v>11.72</v>
      </c>
      <c r="K21" s="35">
        <v>-11.72</v>
      </c>
      <c r="L21" s="35">
        <v>-28.82</v>
      </c>
      <c r="M21" s="34" t="s">
        <v>779</v>
      </c>
    </row>
    <row r="22" spans="2:13" s="34" customFormat="1" ht="12.5" x14ac:dyDescent="0.25">
      <c r="B22" s="34">
        <v>201040216</v>
      </c>
      <c r="C22" s="34" t="s">
        <v>97</v>
      </c>
      <c r="D22" s="34" t="s">
        <v>59</v>
      </c>
      <c r="E22" s="34" t="s">
        <v>59</v>
      </c>
      <c r="F22" s="34">
        <f t="shared" si="0"/>
        <v>2</v>
      </c>
      <c r="G22" s="34">
        <v>8082</v>
      </c>
      <c r="H22" s="34" t="s">
        <v>214</v>
      </c>
      <c r="I22" s="35"/>
      <c r="J22" s="35">
        <v>10.09</v>
      </c>
      <c r="K22" s="35">
        <v>-10.09</v>
      </c>
      <c r="L22" s="35">
        <v>-38.909999999999997</v>
      </c>
      <c r="M22" s="34" t="s">
        <v>779</v>
      </c>
    </row>
    <row r="23" spans="2:13" s="34" customFormat="1" ht="12.5" x14ac:dyDescent="0.25">
      <c r="B23" s="34">
        <v>201040216</v>
      </c>
      <c r="C23" s="34" t="s">
        <v>97</v>
      </c>
      <c r="D23" s="34" t="s">
        <v>52</v>
      </c>
      <c r="E23" s="34" t="s">
        <v>52</v>
      </c>
      <c r="F23" s="34">
        <f t="shared" si="0"/>
        <v>2</v>
      </c>
      <c r="G23" s="34">
        <v>8312</v>
      </c>
      <c r="H23" s="34" t="s">
        <v>178</v>
      </c>
      <c r="I23" s="35">
        <v>16.38</v>
      </c>
      <c r="J23" s="35"/>
      <c r="K23" s="35">
        <v>16.38</v>
      </c>
      <c r="L23" s="35">
        <v>-22.53</v>
      </c>
      <c r="M23" s="34" t="s">
        <v>782</v>
      </c>
    </row>
    <row r="24" spans="2:13" s="34" customFormat="1" ht="12.5" x14ac:dyDescent="0.25">
      <c r="B24" s="34">
        <v>201040216</v>
      </c>
      <c r="C24" s="34" t="s">
        <v>97</v>
      </c>
      <c r="D24" s="34" t="s">
        <v>69</v>
      </c>
      <c r="E24" s="34" t="s">
        <v>69</v>
      </c>
      <c r="F24" s="34">
        <f t="shared" si="0"/>
        <v>3</v>
      </c>
      <c r="G24" s="34">
        <v>8369</v>
      </c>
      <c r="H24" s="34" t="s">
        <v>180</v>
      </c>
      <c r="I24" s="35">
        <v>22.53</v>
      </c>
      <c r="J24" s="35"/>
      <c r="K24" s="35">
        <v>22.53</v>
      </c>
      <c r="L24" s="35">
        <v>0</v>
      </c>
      <c r="M24" s="34" t="s">
        <v>782</v>
      </c>
    </row>
    <row r="25" spans="2:13" s="34" customFormat="1" ht="12.5" x14ac:dyDescent="0.25">
      <c r="B25" s="34">
        <v>201040216</v>
      </c>
      <c r="C25" s="34" t="s">
        <v>97</v>
      </c>
      <c r="D25" s="34" t="s">
        <v>181</v>
      </c>
      <c r="E25" s="34" t="s">
        <v>181</v>
      </c>
      <c r="F25" s="34">
        <f t="shared" si="0"/>
        <v>3</v>
      </c>
      <c r="G25" s="34">
        <v>8325</v>
      </c>
      <c r="H25" s="34" t="s">
        <v>216</v>
      </c>
      <c r="I25" s="35"/>
      <c r="J25" s="35">
        <v>0.5</v>
      </c>
      <c r="K25" s="35">
        <v>-0.5</v>
      </c>
      <c r="L25" s="35">
        <v>-0.5</v>
      </c>
      <c r="M25" s="34" t="s">
        <v>779</v>
      </c>
    </row>
    <row r="26" spans="2:13" s="34" customFormat="1" ht="12.5" x14ac:dyDescent="0.25">
      <c r="B26" s="34">
        <v>201040216</v>
      </c>
      <c r="C26" s="34" t="s">
        <v>97</v>
      </c>
      <c r="D26" s="34" t="s">
        <v>181</v>
      </c>
      <c r="E26" s="34" t="s">
        <v>181</v>
      </c>
      <c r="F26" s="34">
        <f t="shared" si="0"/>
        <v>3</v>
      </c>
      <c r="G26" s="34">
        <v>8326</v>
      </c>
      <c r="H26" s="34" t="s">
        <v>217</v>
      </c>
      <c r="I26" s="35"/>
      <c r="J26" s="35">
        <v>0.22</v>
      </c>
      <c r="K26" s="35">
        <v>-0.22</v>
      </c>
      <c r="L26" s="35">
        <v>-0.72</v>
      </c>
      <c r="M26" s="34" t="s">
        <v>779</v>
      </c>
    </row>
    <row r="27" spans="2:13" s="34" customFormat="1" ht="12.5" x14ac:dyDescent="0.25">
      <c r="B27" s="34">
        <v>201040216</v>
      </c>
      <c r="C27" s="34" t="s">
        <v>97</v>
      </c>
      <c r="D27" s="34" t="s">
        <v>80</v>
      </c>
      <c r="E27" s="34" t="s">
        <v>72</v>
      </c>
      <c r="F27" s="34">
        <f t="shared" si="0"/>
        <v>5</v>
      </c>
      <c r="G27" s="34">
        <v>8412</v>
      </c>
      <c r="H27" s="34" t="s">
        <v>219</v>
      </c>
      <c r="I27" s="35"/>
      <c r="J27" s="35">
        <v>1.1000000000000001</v>
      </c>
      <c r="K27" s="35">
        <v>-1.1000000000000001</v>
      </c>
      <c r="L27" s="35">
        <v>-1.82</v>
      </c>
      <c r="M27" s="34" t="s">
        <v>779</v>
      </c>
    </row>
    <row r="28" spans="2:13" s="34" customFormat="1" ht="12.5" x14ac:dyDescent="0.25">
      <c r="B28" s="34">
        <v>201040216</v>
      </c>
      <c r="C28" s="34" t="s">
        <v>97</v>
      </c>
      <c r="D28" s="34" t="s">
        <v>101</v>
      </c>
      <c r="E28" s="34" t="s">
        <v>101</v>
      </c>
      <c r="F28" s="34">
        <f t="shared" si="0"/>
        <v>4</v>
      </c>
      <c r="G28" s="34">
        <v>8413</v>
      </c>
      <c r="H28" s="34" t="s">
        <v>221</v>
      </c>
      <c r="I28" s="35"/>
      <c r="J28" s="35">
        <v>0.5</v>
      </c>
      <c r="K28" s="35">
        <v>-0.5</v>
      </c>
      <c r="L28" s="35">
        <v>-2.3199999999999998</v>
      </c>
      <c r="M28" s="34" t="s">
        <v>779</v>
      </c>
    </row>
    <row r="29" spans="2:13" s="34" customFormat="1" ht="12.5" x14ac:dyDescent="0.25">
      <c r="B29" s="34">
        <v>201040216</v>
      </c>
      <c r="C29" s="34" t="s">
        <v>97</v>
      </c>
      <c r="D29" s="34" t="s">
        <v>101</v>
      </c>
      <c r="E29" s="34" t="s">
        <v>101</v>
      </c>
      <c r="F29" s="34">
        <f t="shared" si="0"/>
        <v>4</v>
      </c>
      <c r="G29" s="34">
        <v>8415</v>
      </c>
      <c r="H29" s="34" t="s">
        <v>222</v>
      </c>
      <c r="I29" s="35"/>
      <c r="J29" s="35">
        <v>0.22</v>
      </c>
      <c r="K29" s="35">
        <v>-0.22</v>
      </c>
      <c r="L29" s="35">
        <v>-2.54</v>
      </c>
      <c r="M29" s="34" t="s">
        <v>779</v>
      </c>
    </row>
    <row r="30" spans="2:13" s="34" customFormat="1" ht="12.5" x14ac:dyDescent="0.25">
      <c r="B30" s="34">
        <v>201040216</v>
      </c>
      <c r="C30" s="34" t="s">
        <v>97</v>
      </c>
      <c r="D30" s="34" t="s">
        <v>78</v>
      </c>
      <c r="E30" s="34" t="s">
        <v>78</v>
      </c>
      <c r="F30" s="34">
        <f t="shared" si="0"/>
        <v>4</v>
      </c>
      <c r="G30" s="34">
        <v>8572</v>
      </c>
      <c r="H30" s="34" t="s">
        <v>186</v>
      </c>
      <c r="I30" s="35">
        <v>0.72</v>
      </c>
      <c r="J30" s="35"/>
      <c r="K30" s="35">
        <v>0.72</v>
      </c>
      <c r="L30" s="35">
        <v>-1.82</v>
      </c>
      <c r="M30" s="34" t="s">
        <v>782</v>
      </c>
    </row>
    <row r="31" spans="2:13" s="34" customFormat="1" ht="12.5" x14ac:dyDescent="0.25">
      <c r="B31" s="34">
        <v>201040216</v>
      </c>
      <c r="C31" s="34" t="s">
        <v>97</v>
      </c>
      <c r="D31" s="34" t="s">
        <v>87</v>
      </c>
      <c r="E31" s="34" t="s">
        <v>109</v>
      </c>
      <c r="F31" s="34">
        <f t="shared" si="0"/>
        <v>5</v>
      </c>
      <c r="G31" s="34">
        <v>8443</v>
      </c>
      <c r="H31" s="34" t="s">
        <v>700</v>
      </c>
      <c r="I31" s="35"/>
      <c r="J31" s="35">
        <v>8.75</v>
      </c>
      <c r="K31" s="35">
        <v>-8.75</v>
      </c>
      <c r="L31" s="35">
        <v>-10.57</v>
      </c>
      <c r="M31" s="34" t="s">
        <v>779</v>
      </c>
    </row>
    <row r="32" spans="2:13" s="34" customFormat="1" ht="12.5" x14ac:dyDescent="0.25">
      <c r="B32" s="34">
        <v>201040216</v>
      </c>
      <c r="C32" s="34" t="s">
        <v>97</v>
      </c>
      <c r="D32" s="34" t="s">
        <v>83</v>
      </c>
      <c r="E32" s="34" t="s">
        <v>83</v>
      </c>
      <c r="F32" s="34">
        <f t="shared" si="0"/>
        <v>5</v>
      </c>
      <c r="G32" s="34">
        <v>8498</v>
      </c>
      <c r="H32" s="34" t="s">
        <v>224</v>
      </c>
      <c r="I32" s="35"/>
      <c r="J32" s="35">
        <v>0.22</v>
      </c>
      <c r="K32" s="35">
        <v>-0.22</v>
      </c>
      <c r="L32" s="35">
        <v>-10.79</v>
      </c>
      <c r="M32" s="34" t="s">
        <v>779</v>
      </c>
    </row>
    <row r="33" spans="2:13" s="34" customFormat="1" ht="12.5" x14ac:dyDescent="0.25">
      <c r="B33" s="34">
        <v>201040216</v>
      </c>
      <c r="C33" s="34" t="s">
        <v>97</v>
      </c>
      <c r="D33" s="34" t="s">
        <v>83</v>
      </c>
      <c r="E33" s="34" t="s">
        <v>83</v>
      </c>
      <c r="F33" s="34">
        <f t="shared" si="0"/>
        <v>5</v>
      </c>
      <c r="G33" s="34">
        <v>8499</v>
      </c>
      <c r="H33" s="34" t="s">
        <v>225</v>
      </c>
      <c r="I33" s="35"/>
      <c r="J33" s="35">
        <v>0.5</v>
      </c>
      <c r="K33" s="35">
        <v>-0.5</v>
      </c>
      <c r="L33" s="35">
        <v>-11.29</v>
      </c>
      <c r="M33" s="34" t="s">
        <v>779</v>
      </c>
    </row>
    <row r="34" spans="2:13" s="34" customFormat="1" ht="12.5" x14ac:dyDescent="0.25">
      <c r="B34" s="34">
        <v>201040216</v>
      </c>
      <c r="C34" s="34" t="s">
        <v>97</v>
      </c>
      <c r="D34" s="34" t="s">
        <v>86</v>
      </c>
      <c r="E34" s="34" t="s">
        <v>86</v>
      </c>
      <c r="F34" s="34">
        <f t="shared" si="0"/>
        <v>5</v>
      </c>
      <c r="G34" s="34">
        <v>8661</v>
      </c>
      <c r="H34" s="34" t="s">
        <v>187</v>
      </c>
      <c r="I34" s="35">
        <v>10.57</v>
      </c>
      <c r="J34" s="35"/>
      <c r="K34" s="35">
        <v>10.57</v>
      </c>
      <c r="L34" s="35">
        <v>-0.72</v>
      </c>
      <c r="M34" s="34" t="s">
        <v>782</v>
      </c>
    </row>
    <row r="35" spans="2:13" s="34" customFormat="1" ht="12.5" x14ac:dyDescent="0.25">
      <c r="B35" s="34">
        <v>201040216</v>
      </c>
      <c r="C35" s="34" t="s">
        <v>97</v>
      </c>
      <c r="D35" s="34" t="s">
        <v>88</v>
      </c>
      <c r="E35" s="34" t="s">
        <v>88</v>
      </c>
      <c r="F35" s="34">
        <f t="shared" si="0"/>
        <v>5</v>
      </c>
      <c r="G35" s="34">
        <v>8583</v>
      </c>
      <c r="H35" s="34" t="s">
        <v>226</v>
      </c>
      <c r="I35" s="35"/>
      <c r="J35" s="35">
        <v>6.08</v>
      </c>
      <c r="K35" s="35">
        <v>-6.08</v>
      </c>
      <c r="L35" s="35">
        <v>-6.8</v>
      </c>
      <c r="M35" s="34" t="s">
        <v>779</v>
      </c>
    </row>
    <row r="36" spans="2:13" s="34" customFormat="1" ht="12.5" x14ac:dyDescent="0.25">
      <c r="B36" s="34">
        <v>201040216</v>
      </c>
      <c r="C36" s="34" t="s">
        <v>97</v>
      </c>
      <c r="D36" s="34" t="s">
        <v>112</v>
      </c>
      <c r="E36" s="34" t="s">
        <v>112</v>
      </c>
      <c r="F36" s="34">
        <f t="shared" si="0"/>
        <v>6</v>
      </c>
      <c r="G36" s="34">
        <v>8688</v>
      </c>
      <c r="H36" s="34" t="s">
        <v>228</v>
      </c>
      <c r="I36" s="35"/>
      <c r="J36" s="35">
        <v>0.22</v>
      </c>
      <c r="K36" s="35">
        <v>-0.22</v>
      </c>
      <c r="L36" s="35">
        <v>-7.02</v>
      </c>
      <c r="M36" s="34" t="s">
        <v>779</v>
      </c>
    </row>
    <row r="37" spans="2:13" s="34" customFormat="1" ht="12.5" x14ac:dyDescent="0.25">
      <c r="B37" s="34">
        <v>201040216</v>
      </c>
      <c r="C37" s="34" t="s">
        <v>97</v>
      </c>
      <c r="D37" s="34" t="s">
        <v>112</v>
      </c>
      <c r="E37" s="34" t="s">
        <v>112</v>
      </c>
      <c r="F37" s="34">
        <f t="shared" si="0"/>
        <v>6</v>
      </c>
      <c r="G37" s="34">
        <v>8750</v>
      </c>
      <c r="H37" s="34" t="s">
        <v>229</v>
      </c>
      <c r="I37" s="35"/>
      <c r="J37" s="35">
        <v>0.5</v>
      </c>
      <c r="K37" s="35">
        <v>-0.5</v>
      </c>
      <c r="L37" s="35">
        <v>-7.52</v>
      </c>
      <c r="M37" s="34" t="s">
        <v>779</v>
      </c>
    </row>
    <row r="38" spans="2:13" s="34" customFormat="1" ht="12.5" x14ac:dyDescent="0.25">
      <c r="B38" s="34">
        <v>201040216</v>
      </c>
      <c r="C38" s="34" t="s">
        <v>97</v>
      </c>
      <c r="D38" s="34" t="s">
        <v>230</v>
      </c>
      <c r="E38" s="34" t="s">
        <v>230</v>
      </c>
      <c r="F38" s="34">
        <f t="shared" si="0"/>
        <v>6</v>
      </c>
      <c r="G38" s="34">
        <v>8886</v>
      </c>
      <c r="H38" s="34" t="s">
        <v>231</v>
      </c>
      <c r="I38" s="35">
        <v>6.8</v>
      </c>
      <c r="J38" s="35"/>
      <c r="K38" s="35">
        <v>6.8</v>
      </c>
      <c r="L38" s="35">
        <v>-0.72</v>
      </c>
      <c r="M38" s="34" t="s">
        <v>782</v>
      </c>
    </row>
    <row r="39" spans="2:13" s="34" customFormat="1" ht="12.5" x14ac:dyDescent="0.25">
      <c r="B39" s="34">
        <v>201040216</v>
      </c>
      <c r="C39" s="34" t="s">
        <v>97</v>
      </c>
      <c r="D39" s="34" t="s">
        <v>160</v>
      </c>
      <c r="E39" s="34" t="s">
        <v>160</v>
      </c>
      <c r="F39" s="34">
        <f t="shared" si="0"/>
        <v>7</v>
      </c>
      <c r="G39" s="34">
        <v>8801</v>
      </c>
      <c r="H39" s="34" t="s">
        <v>233</v>
      </c>
      <c r="I39" s="35"/>
      <c r="J39" s="35">
        <v>0.22</v>
      </c>
      <c r="K39" s="35">
        <v>-0.22</v>
      </c>
      <c r="L39" s="35">
        <v>-0.94</v>
      </c>
      <c r="M39" s="34" t="s">
        <v>779</v>
      </c>
    </row>
    <row r="40" spans="2:13" s="34" customFormat="1" ht="12.5" x14ac:dyDescent="0.25">
      <c r="B40" s="34">
        <v>201040216</v>
      </c>
      <c r="C40" s="34" t="s">
        <v>97</v>
      </c>
      <c r="D40" s="34" t="s">
        <v>160</v>
      </c>
      <c r="E40" s="34" t="s">
        <v>160</v>
      </c>
      <c r="F40" s="34">
        <f t="shared" si="0"/>
        <v>7</v>
      </c>
      <c r="G40" s="34">
        <v>8802</v>
      </c>
      <c r="H40" s="34" t="s">
        <v>229</v>
      </c>
      <c r="I40" s="35"/>
      <c r="J40" s="35">
        <v>0.83</v>
      </c>
      <c r="K40" s="35">
        <v>-0.83</v>
      </c>
      <c r="L40" s="35">
        <v>-1.77</v>
      </c>
      <c r="M40" s="34" t="s">
        <v>779</v>
      </c>
    </row>
    <row r="41" spans="2:13" s="34" customFormat="1" ht="12.5" x14ac:dyDescent="0.25">
      <c r="B41" s="34">
        <v>201040216</v>
      </c>
      <c r="C41" s="34" t="s">
        <v>97</v>
      </c>
      <c r="D41" s="34" t="s">
        <v>95</v>
      </c>
      <c r="E41" s="34" t="s">
        <v>95</v>
      </c>
      <c r="F41" s="34">
        <f t="shared" si="0"/>
        <v>7</v>
      </c>
      <c r="G41" s="34">
        <v>8956</v>
      </c>
      <c r="H41" s="34" t="s">
        <v>234</v>
      </c>
      <c r="I41" s="35">
        <v>228.52</v>
      </c>
      <c r="J41" s="35"/>
      <c r="K41" s="35">
        <v>228.52</v>
      </c>
      <c r="L41" s="35">
        <v>226.75</v>
      </c>
      <c r="M41" s="34" t="s">
        <v>781</v>
      </c>
    </row>
    <row r="42" spans="2:13" s="34" customFormat="1" ht="12.5" x14ac:dyDescent="0.25">
      <c r="B42" s="34">
        <v>201040216</v>
      </c>
      <c r="C42" s="34" t="s">
        <v>97</v>
      </c>
      <c r="D42" s="34" t="s">
        <v>95</v>
      </c>
      <c r="E42" s="34" t="s">
        <v>95</v>
      </c>
      <c r="F42" s="34">
        <f t="shared" si="0"/>
        <v>7</v>
      </c>
      <c r="G42" s="34">
        <v>8986</v>
      </c>
      <c r="H42" s="34" t="s">
        <v>235</v>
      </c>
      <c r="I42" s="35">
        <v>-228.52</v>
      </c>
      <c r="J42" s="35"/>
      <c r="K42" s="35">
        <v>-228.52</v>
      </c>
      <c r="L42" s="35">
        <v>-1.77</v>
      </c>
      <c r="M42" s="34" t="s">
        <v>781</v>
      </c>
    </row>
    <row r="43" spans="2:13" s="34" customFormat="1" ht="12.5" x14ac:dyDescent="0.25">
      <c r="B43" s="34">
        <v>201040216</v>
      </c>
      <c r="C43" s="34" t="s">
        <v>97</v>
      </c>
      <c r="D43" s="34" t="s">
        <v>95</v>
      </c>
      <c r="E43" s="34" t="s">
        <v>95</v>
      </c>
      <c r="F43" s="34">
        <f t="shared" si="0"/>
        <v>7</v>
      </c>
      <c r="G43" s="34">
        <v>8987</v>
      </c>
      <c r="H43" s="34" t="s">
        <v>234</v>
      </c>
      <c r="I43" s="35">
        <v>0.72</v>
      </c>
      <c r="J43" s="35"/>
      <c r="K43" s="35">
        <v>0.72</v>
      </c>
      <c r="L43" s="35">
        <v>-1.05</v>
      </c>
      <c r="M43" s="34" t="s">
        <v>782</v>
      </c>
    </row>
    <row r="44" spans="2:13" s="34" customFormat="1" ht="12.5" x14ac:dyDescent="0.25">
      <c r="B44" s="34">
        <v>201040216</v>
      </c>
      <c r="C44" s="34" t="s">
        <v>97</v>
      </c>
      <c r="D44" s="34" t="s">
        <v>236</v>
      </c>
      <c r="E44" s="34" t="s">
        <v>236</v>
      </c>
      <c r="F44" s="34">
        <f t="shared" si="0"/>
        <v>7</v>
      </c>
      <c r="G44" s="34">
        <v>8846</v>
      </c>
      <c r="H44" s="34" t="s">
        <v>237</v>
      </c>
      <c r="I44" s="35"/>
      <c r="J44" s="35">
        <v>13.83</v>
      </c>
      <c r="K44" s="35">
        <v>-13.83</v>
      </c>
      <c r="L44" s="35">
        <v>-14.88</v>
      </c>
      <c r="M44" s="34" t="s">
        <v>779</v>
      </c>
    </row>
    <row r="45" spans="2:13" s="34" customFormat="1" ht="12.5" x14ac:dyDescent="0.25">
      <c r="B45" s="34">
        <v>201040216</v>
      </c>
      <c r="C45" s="34" t="s">
        <v>97</v>
      </c>
      <c r="D45" s="34" t="s">
        <v>118</v>
      </c>
      <c r="E45" s="34" t="s">
        <v>118</v>
      </c>
      <c r="F45" s="34">
        <f t="shared" si="0"/>
        <v>8</v>
      </c>
      <c r="G45" s="34">
        <v>9027</v>
      </c>
      <c r="H45" s="34" t="s">
        <v>239</v>
      </c>
      <c r="I45" s="35"/>
      <c r="J45" s="35">
        <v>0.67</v>
      </c>
      <c r="K45" s="35">
        <v>-0.67</v>
      </c>
      <c r="L45" s="35">
        <v>-15.55</v>
      </c>
      <c r="M45" s="34" t="s">
        <v>779</v>
      </c>
    </row>
    <row r="46" spans="2:13" s="34" customFormat="1" ht="12.5" x14ac:dyDescent="0.25">
      <c r="B46" s="34">
        <v>201040216</v>
      </c>
      <c r="C46" s="34" t="s">
        <v>97</v>
      </c>
      <c r="D46" s="34" t="s">
        <v>240</v>
      </c>
      <c r="E46" s="34" t="s">
        <v>240</v>
      </c>
      <c r="F46" s="34">
        <f t="shared" si="0"/>
        <v>8</v>
      </c>
      <c r="G46" s="34">
        <v>9115</v>
      </c>
      <c r="H46" s="34" t="s">
        <v>241</v>
      </c>
      <c r="I46" s="35"/>
      <c r="J46" s="35">
        <v>0.22</v>
      </c>
      <c r="K46" s="35">
        <v>-0.22</v>
      </c>
      <c r="L46" s="35">
        <v>-15.77</v>
      </c>
      <c r="M46" s="34" t="s">
        <v>779</v>
      </c>
    </row>
    <row r="47" spans="2:13" s="34" customFormat="1" ht="12.5" x14ac:dyDescent="0.25">
      <c r="B47" s="34">
        <v>201040216</v>
      </c>
      <c r="C47" s="34" t="s">
        <v>97</v>
      </c>
      <c r="D47" s="34" t="s">
        <v>96</v>
      </c>
      <c r="E47" s="34" t="s">
        <v>96</v>
      </c>
      <c r="F47" s="34">
        <f t="shared" si="0"/>
        <v>8</v>
      </c>
      <c r="G47" s="34">
        <v>9152</v>
      </c>
      <c r="H47" s="34" t="s">
        <v>192</v>
      </c>
      <c r="I47" s="35">
        <v>14.88</v>
      </c>
      <c r="J47" s="35"/>
      <c r="K47" s="35">
        <v>14.88</v>
      </c>
      <c r="L47" s="35">
        <v>-0.89</v>
      </c>
      <c r="M47" s="34" t="s">
        <v>782</v>
      </c>
    </row>
    <row r="48" spans="2:13" s="34" customFormat="1" ht="12.5" x14ac:dyDescent="0.25">
      <c r="B48" s="34">
        <v>201040216</v>
      </c>
      <c r="C48" s="34" t="s">
        <v>97</v>
      </c>
      <c r="D48" s="34" t="s">
        <v>163</v>
      </c>
      <c r="E48" s="34" t="s">
        <v>163</v>
      </c>
      <c r="F48" s="34">
        <f t="shared" si="0"/>
        <v>9</v>
      </c>
      <c r="G48" s="34">
        <v>9176</v>
      </c>
      <c r="H48" s="34" t="s">
        <v>243</v>
      </c>
      <c r="I48" s="35"/>
      <c r="J48" s="35">
        <v>0.67</v>
      </c>
      <c r="K48" s="35">
        <v>-0.67</v>
      </c>
      <c r="L48" s="35">
        <v>-1.56</v>
      </c>
      <c r="M48" s="34" t="s">
        <v>779</v>
      </c>
    </row>
    <row r="49" spans="2:13" s="34" customFormat="1" ht="12.5" x14ac:dyDescent="0.25">
      <c r="B49" s="34">
        <v>201040216</v>
      </c>
      <c r="C49" s="34" t="s">
        <v>97</v>
      </c>
      <c r="D49" s="34" t="s">
        <v>163</v>
      </c>
      <c r="E49" s="34" t="s">
        <v>163</v>
      </c>
      <c r="F49" s="34">
        <f t="shared" si="0"/>
        <v>9</v>
      </c>
      <c r="G49" s="34">
        <v>9177</v>
      </c>
      <c r="H49" s="34" t="s">
        <v>244</v>
      </c>
      <c r="I49" s="35"/>
      <c r="J49" s="35">
        <v>0.22</v>
      </c>
      <c r="K49" s="35">
        <v>-0.22</v>
      </c>
      <c r="L49" s="35">
        <v>-1.78</v>
      </c>
      <c r="M49" s="34" t="s">
        <v>779</v>
      </c>
    </row>
    <row r="50" spans="2:13" s="34" customFormat="1" ht="12.5" x14ac:dyDescent="0.25">
      <c r="B50" s="34">
        <v>201040216</v>
      </c>
      <c r="C50" s="34" t="s">
        <v>97</v>
      </c>
      <c r="D50" s="34" t="s">
        <v>123</v>
      </c>
      <c r="E50" s="34" t="s">
        <v>123</v>
      </c>
      <c r="F50" s="34">
        <f t="shared" si="0"/>
        <v>9</v>
      </c>
      <c r="G50" s="34">
        <v>9284</v>
      </c>
      <c r="H50" s="34" t="s">
        <v>195</v>
      </c>
      <c r="I50" s="35">
        <v>0.89</v>
      </c>
      <c r="J50" s="35"/>
      <c r="K50" s="35">
        <v>0.89</v>
      </c>
      <c r="L50" s="35">
        <v>-0.89</v>
      </c>
      <c r="M50" s="34" t="s">
        <v>782</v>
      </c>
    </row>
    <row r="51" spans="2:13" s="34" customFormat="1" ht="12.5" x14ac:dyDescent="0.25">
      <c r="B51" s="34">
        <v>201040216</v>
      </c>
      <c r="C51" s="34" t="s">
        <v>97</v>
      </c>
      <c r="D51" s="34" t="s">
        <v>165</v>
      </c>
      <c r="E51" s="34" t="s">
        <v>165</v>
      </c>
      <c r="F51" s="34">
        <f t="shared" si="0"/>
        <v>10</v>
      </c>
      <c r="G51" s="34">
        <v>9385</v>
      </c>
      <c r="H51" s="34" t="s">
        <v>245</v>
      </c>
      <c r="I51" s="35"/>
      <c r="J51" s="35">
        <v>0.67</v>
      </c>
      <c r="K51" s="35">
        <v>-0.67</v>
      </c>
      <c r="L51" s="35">
        <v>-1.56</v>
      </c>
      <c r="M51" s="34" t="s">
        <v>779</v>
      </c>
    </row>
    <row r="52" spans="2:13" s="34" customFormat="1" ht="12.5" x14ac:dyDescent="0.25">
      <c r="B52" s="34">
        <v>201040216</v>
      </c>
      <c r="C52" s="34" t="s">
        <v>97</v>
      </c>
      <c r="D52" s="34" t="s">
        <v>165</v>
      </c>
      <c r="E52" s="34" t="s">
        <v>165</v>
      </c>
      <c r="F52" s="34">
        <f t="shared" si="0"/>
        <v>10</v>
      </c>
      <c r="G52" s="34">
        <v>9386</v>
      </c>
      <c r="H52" s="34" t="s">
        <v>246</v>
      </c>
      <c r="I52" s="35"/>
      <c r="J52" s="35">
        <v>0.22</v>
      </c>
      <c r="K52" s="35">
        <v>-0.22</v>
      </c>
      <c r="L52" s="35">
        <v>-1.78</v>
      </c>
      <c r="M52" s="34" t="s">
        <v>779</v>
      </c>
    </row>
    <row r="53" spans="2:13" s="34" customFormat="1" ht="12.5" x14ac:dyDescent="0.25">
      <c r="B53" s="34">
        <v>201040216</v>
      </c>
      <c r="C53" s="34" t="s">
        <v>97</v>
      </c>
      <c r="D53" s="34" t="s">
        <v>165</v>
      </c>
      <c r="E53" s="34" t="s">
        <v>165</v>
      </c>
      <c r="F53" s="34">
        <f t="shared" si="0"/>
        <v>10</v>
      </c>
      <c r="G53" s="34">
        <v>9443</v>
      </c>
      <c r="H53" s="34" t="s">
        <v>201</v>
      </c>
      <c r="I53" s="35"/>
      <c r="J53" s="35">
        <v>-0.22</v>
      </c>
      <c r="K53" s="35">
        <v>0.22</v>
      </c>
      <c r="L53" s="35">
        <v>-1.56</v>
      </c>
      <c r="M53" s="34" t="s">
        <v>779</v>
      </c>
    </row>
    <row r="54" spans="2:13" s="34" customFormat="1" ht="12.5" x14ac:dyDescent="0.25">
      <c r="B54" s="34">
        <v>201040216</v>
      </c>
      <c r="C54" s="34" t="s">
        <v>97</v>
      </c>
      <c r="D54" s="34" t="s">
        <v>165</v>
      </c>
      <c r="E54" s="34" t="s">
        <v>165</v>
      </c>
      <c r="F54" s="34">
        <f t="shared" si="0"/>
        <v>10</v>
      </c>
      <c r="G54" s="34">
        <v>9444</v>
      </c>
      <c r="H54" s="34" t="s">
        <v>246</v>
      </c>
      <c r="I54" s="35"/>
      <c r="J54" s="35">
        <v>0.22</v>
      </c>
      <c r="K54" s="35">
        <v>-0.22</v>
      </c>
      <c r="L54" s="35">
        <v>-1.78</v>
      </c>
      <c r="M54" s="34" t="s">
        <v>779</v>
      </c>
    </row>
    <row r="55" spans="2:13" s="34" customFormat="1" ht="12.5" x14ac:dyDescent="0.25">
      <c r="B55" s="34">
        <v>201040216</v>
      </c>
      <c r="C55" s="34" t="s">
        <v>97</v>
      </c>
      <c r="D55" s="34" t="s">
        <v>126</v>
      </c>
      <c r="E55" s="34" t="s">
        <v>126</v>
      </c>
      <c r="F55" s="34">
        <f t="shared" si="0"/>
        <v>10</v>
      </c>
      <c r="G55" s="34">
        <v>9424</v>
      </c>
      <c r="H55" s="34" t="s">
        <v>197</v>
      </c>
      <c r="I55" s="35">
        <v>0.89</v>
      </c>
      <c r="J55" s="35"/>
      <c r="K55" s="35">
        <v>0.89</v>
      </c>
      <c r="L55" s="35">
        <v>-0.89</v>
      </c>
      <c r="M55" s="34" t="s">
        <v>782</v>
      </c>
    </row>
    <row r="56" spans="2:13" s="34" customFormat="1" ht="12.5" x14ac:dyDescent="0.25">
      <c r="B56" s="34">
        <v>201040216</v>
      </c>
      <c r="C56" s="34" t="s">
        <v>97</v>
      </c>
      <c r="D56" s="34" t="s">
        <v>247</v>
      </c>
      <c r="E56" s="34" t="s">
        <v>145</v>
      </c>
      <c r="F56" s="34">
        <f t="shared" si="0"/>
        <v>11</v>
      </c>
      <c r="G56" s="34">
        <v>9403</v>
      </c>
      <c r="H56" s="34" t="s">
        <v>248</v>
      </c>
      <c r="I56" s="35"/>
      <c r="J56" s="35">
        <v>141.5</v>
      </c>
      <c r="K56" s="35">
        <v>-141.5</v>
      </c>
      <c r="L56" s="35">
        <v>-142.38999999999999</v>
      </c>
      <c r="M56" s="34" t="s">
        <v>779</v>
      </c>
    </row>
    <row r="57" spans="2:13" s="34" customFormat="1" ht="12.5" x14ac:dyDescent="0.25">
      <c r="B57" s="34">
        <v>201040216</v>
      </c>
      <c r="C57" s="34" t="s">
        <v>97</v>
      </c>
      <c r="D57" s="34" t="s">
        <v>247</v>
      </c>
      <c r="E57" s="34" t="s">
        <v>145</v>
      </c>
      <c r="F57" s="34">
        <f t="shared" si="0"/>
        <v>11</v>
      </c>
      <c r="G57" s="34">
        <v>9404</v>
      </c>
      <c r="H57" s="34" t="s">
        <v>249</v>
      </c>
      <c r="I57" s="35"/>
      <c r="J57" s="35">
        <v>10.44</v>
      </c>
      <c r="K57" s="35">
        <v>-10.44</v>
      </c>
      <c r="L57" s="35">
        <v>-152.83000000000001</v>
      </c>
      <c r="M57" s="34" t="s">
        <v>779</v>
      </c>
    </row>
    <row r="58" spans="2:13" s="34" customFormat="1" ht="12.5" x14ac:dyDescent="0.25">
      <c r="B58" s="34">
        <v>201040216</v>
      </c>
      <c r="C58" s="34" t="s">
        <v>97</v>
      </c>
      <c r="D58" s="34" t="s">
        <v>701</v>
      </c>
      <c r="E58" s="34" t="s">
        <v>701</v>
      </c>
      <c r="F58" s="34">
        <f t="shared" si="0"/>
        <v>11</v>
      </c>
      <c r="G58" s="34">
        <v>9438</v>
      </c>
      <c r="H58" s="34" t="s">
        <v>702</v>
      </c>
      <c r="I58" s="35"/>
      <c r="J58" s="35">
        <v>0.67</v>
      </c>
      <c r="K58" s="35">
        <v>-0.67</v>
      </c>
      <c r="L58" s="35">
        <v>-153.5</v>
      </c>
      <c r="M58" s="34" t="s">
        <v>779</v>
      </c>
    </row>
    <row r="59" spans="2:13" s="34" customFormat="1" ht="12.5" x14ac:dyDescent="0.25">
      <c r="B59" s="34">
        <v>201040216</v>
      </c>
      <c r="C59" s="34" t="s">
        <v>97</v>
      </c>
      <c r="D59" s="34" t="s">
        <v>410</v>
      </c>
      <c r="E59" s="34" t="s">
        <v>410</v>
      </c>
      <c r="F59" s="34">
        <f t="shared" si="0"/>
        <v>11</v>
      </c>
      <c r="G59" s="34">
        <v>9441</v>
      </c>
      <c r="H59" s="34" t="s">
        <v>703</v>
      </c>
      <c r="I59" s="35"/>
      <c r="J59" s="35">
        <v>0.22</v>
      </c>
      <c r="K59" s="35">
        <v>-0.22</v>
      </c>
      <c r="L59" s="35">
        <v>-153.72</v>
      </c>
      <c r="M59" s="34" t="s">
        <v>779</v>
      </c>
    </row>
    <row r="60" spans="2:13" s="34" customFormat="1" ht="12.5" x14ac:dyDescent="0.25">
      <c r="B60" s="34">
        <v>201040216</v>
      </c>
      <c r="C60" s="34" t="s">
        <v>97</v>
      </c>
      <c r="D60" s="34" t="s">
        <v>412</v>
      </c>
      <c r="E60" s="34" t="s">
        <v>412</v>
      </c>
      <c r="F60" s="34">
        <f t="shared" si="0"/>
        <v>11</v>
      </c>
      <c r="G60" s="34">
        <v>9587</v>
      </c>
      <c r="H60" s="34" t="s">
        <v>704</v>
      </c>
      <c r="I60" s="35">
        <v>152.83000000000001</v>
      </c>
      <c r="J60" s="35"/>
      <c r="K60" s="35">
        <v>152.83000000000001</v>
      </c>
      <c r="L60" s="35">
        <v>-0.89</v>
      </c>
      <c r="M60" s="34" t="s">
        <v>782</v>
      </c>
    </row>
    <row r="61" spans="2:13" s="34" customFormat="1" ht="12.5" x14ac:dyDescent="0.25">
      <c r="B61" s="34">
        <v>201040216</v>
      </c>
      <c r="C61" s="34" t="s">
        <v>97</v>
      </c>
      <c r="D61" s="34" t="s">
        <v>247</v>
      </c>
      <c r="E61" s="34" t="s">
        <v>247</v>
      </c>
      <c r="F61" s="34">
        <f t="shared" si="0"/>
        <v>11</v>
      </c>
      <c r="G61" s="34">
        <v>9547</v>
      </c>
      <c r="H61" s="34" t="s">
        <v>705</v>
      </c>
      <c r="I61" s="35"/>
      <c r="J61" s="35">
        <v>5.04</v>
      </c>
      <c r="K61" s="35">
        <v>-5.04</v>
      </c>
      <c r="L61" s="35">
        <v>-5.93</v>
      </c>
      <c r="M61" s="34" t="s">
        <v>779</v>
      </c>
    </row>
    <row r="62" spans="2:13" s="34" customFormat="1" ht="12.5" x14ac:dyDescent="0.25">
      <c r="B62" s="34">
        <v>201040216</v>
      </c>
      <c r="C62" s="34" t="s">
        <v>97</v>
      </c>
      <c r="D62" s="34" t="s">
        <v>706</v>
      </c>
      <c r="E62" s="34" t="s">
        <v>706</v>
      </c>
      <c r="F62" s="34">
        <f t="shared" si="0"/>
        <v>12</v>
      </c>
      <c r="G62" s="34">
        <v>9727</v>
      </c>
      <c r="H62" s="34" t="s">
        <v>707</v>
      </c>
      <c r="I62" s="35">
        <v>5.93</v>
      </c>
      <c r="J62" s="35"/>
      <c r="K62" s="35">
        <v>5.93</v>
      </c>
      <c r="L62" s="35">
        <v>0</v>
      </c>
      <c r="M62" s="34" t="s">
        <v>782</v>
      </c>
    </row>
    <row r="63" spans="2:13" s="34" customFormat="1" ht="12.5" x14ac:dyDescent="0.25">
      <c r="B63" s="34">
        <v>201040217</v>
      </c>
      <c r="C63" s="34" t="s">
        <v>146</v>
      </c>
      <c r="D63" s="34">
        <v>2021</v>
      </c>
      <c r="E63" s="34" t="s">
        <v>43</v>
      </c>
      <c r="F63" s="34">
        <f t="shared" si="0"/>
        <v>7</v>
      </c>
      <c r="H63" s="34" t="s">
        <v>146</v>
      </c>
      <c r="I63" s="35"/>
      <c r="J63" s="35"/>
      <c r="K63" s="35">
        <v>-1073.7</v>
      </c>
      <c r="L63" s="35">
        <v>-1073.7</v>
      </c>
      <c r="M63" s="34" t="s">
        <v>780</v>
      </c>
    </row>
    <row r="64" spans="2:13" s="34" customFormat="1" ht="12.5" x14ac:dyDescent="0.25">
      <c r="B64" s="34">
        <v>201040217</v>
      </c>
      <c r="C64" s="34" t="s">
        <v>146</v>
      </c>
      <c r="D64" s="34" t="s">
        <v>45</v>
      </c>
      <c r="E64" s="34" t="s">
        <v>250</v>
      </c>
      <c r="F64" s="34">
        <f t="shared" si="0"/>
        <v>1</v>
      </c>
      <c r="G64" s="34">
        <v>8007</v>
      </c>
      <c r="H64" s="34" t="s">
        <v>251</v>
      </c>
      <c r="I64" s="35"/>
      <c r="J64" s="35">
        <v>6.54</v>
      </c>
      <c r="K64" s="35">
        <v>-6.54</v>
      </c>
      <c r="L64" s="35">
        <v>-1080.24</v>
      </c>
      <c r="M64" s="34" t="s">
        <v>779</v>
      </c>
    </row>
    <row r="65" spans="2:13" s="34" customFormat="1" ht="12.5" x14ac:dyDescent="0.25">
      <c r="B65" s="34">
        <v>201040217</v>
      </c>
      <c r="C65" s="34" t="s">
        <v>146</v>
      </c>
      <c r="D65" s="34" t="s">
        <v>45</v>
      </c>
      <c r="E65" s="34" t="s">
        <v>250</v>
      </c>
      <c r="F65" s="34">
        <f t="shared" si="0"/>
        <v>1</v>
      </c>
      <c r="G65" s="34">
        <v>8008</v>
      </c>
      <c r="H65" s="34" t="s">
        <v>252</v>
      </c>
      <c r="I65" s="35"/>
      <c r="J65" s="35">
        <v>3.93</v>
      </c>
      <c r="K65" s="35">
        <v>-3.93</v>
      </c>
      <c r="L65" s="35">
        <v>-1084.17</v>
      </c>
      <c r="M65" s="34" t="s">
        <v>779</v>
      </c>
    </row>
    <row r="66" spans="2:13" s="34" customFormat="1" ht="12.5" x14ac:dyDescent="0.25">
      <c r="B66" s="34">
        <v>201040217</v>
      </c>
      <c r="C66" s="34" t="s">
        <v>146</v>
      </c>
      <c r="D66" s="34" t="s">
        <v>45</v>
      </c>
      <c r="E66" s="34" t="s">
        <v>45</v>
      </c>
      <c r="F66" s="34">
        <f t="shared" si="0"/>
        <v>1</v>
      </c>
      <c r="G66" s="34">
        <v>7938</v>
      </c>
      <c r="H66" s="34" t="s">
        <v>253</v>
      </c>
      <c r="I66" s="35"/>
      <c r="J66" s="35">
        <v>1.38</v>
      </c>
      <c r="K66" s="35">
        <v>-1.38</v>
      </c>
      <c r="L66" s="35">
        <v>-1085.55</v>
      </c>
      <c r="M66" s="34" t="s">
        <v>779</v>
      </c>
    </row>
    <row r="67" spans="2:13" s="34" customFormat="1" ht="12.5" x14ac:dyDescent="0.25">
      <c r="B67" s="34">
        <v>201040217</v>
      </c>
      <c r="C67" s="34" t="s">
        <v>146</v>
      </c>
      <c r="D67" s="34" t="s">
        <v>147</v>
      </c>
      <c r="E67" s="34" t="s">
        <v>147</v>
      </c>
      <c r="F67" s="34">
        <f t="shared" ref="F67:F130" si="1">MONTH(D67)</f>
        <v>1</v>
      </c>
      <c r="G67" s="34">
        <v>7944</v>
      </c>
      <c r="H67" s="34" t="s">
        <v>254</v>
      </c>
      <c r="I67" s="35"/>
      <c r="J67" s="35">
        <v>6.33</v>
      </c>
      <c r="K67" s="35">
        <v>-6.33</v>
      </c>
      <c r="L67" s="35">
        <v>-1091.8800000000001</v>
      </c>
      <c r="M67" s="34" t="s">
        <v>779</v>
      </c>
    </row>
    <row r="68" spans="2:13" s="34" customFormat="1" ht="12.5" x14ac:dyDescent="0.25">
      <c r="B68" s="34">
        <v>201040217</v>
      </c>
      <c r="C68" s="34" t="s">
        <v>146</v>
      </c>
      <c r="D68" s="34" t="s">
        <v>150</v>
      </c>
      <c r="E68" s="34" t="s">
        <v>47</v>
      </c>
      <c r="F68" s="34">
        <f t="shared" si="1"/>
        <v>2</v>
      </c>
      <c r="G68" s="34">
        <v>8012</v>
      </c>
      <c r="H68" s="34" t="s">
        <v>255</v>
      </c>
      <c r="I68" s="35"/>
      <c r="J68" s="35">
        <v>121</v>
      </c>
      <c r="K68" s="35">
        <v>-121</v>
      </c>
      <c r="L68" s="35">
        <v>-1212.8800000000001</v>
      </c>
      <c r="M68" s="34" t="s">
        <v>779</v>
      </c>
    </row>
    <row r="69" spans="2:13" s="34" customFormat="1" ht="12.5" x14ac:dyDescent="0.25">
      <c r="B69" s="34">
        <v>201040217</v>
      </c>
      <c r="C69" s="34" t="s">
        <v>146</v>
      </c>
      <c r="D69" s="34" t="s">
        <v>48</v>
      </c>
      <c r="E69" s="34" t="s">
        <v>48</v>
      </c>
      <c r="F69" s="34">
        <f t="shared" si="1"/>
        <v>1</v>
      </c>
      <c r="G69" s="34">
        <v>8011</v>
      </c>
      <c r="H69" s="34" t="s">
        <v>256</v>
      </c>
      <c r="I69" s="35"/>
      <c r="J69" s="35">
        <v>11</v>
      </c>
      <c r="K69" s="35">
        <v>-11</v>
      </c>
      <c r="L69" s="35">
        <v>-1223.8800000000001</v>
      </c>
      <c r="M69" s="34" t="s">
        <v>779</v>
      </c>
    </row>
    <row r="70" spans="2:13" s="34" customFormat="1" ht="12.5" x14ac:dyDescent="0.25">
      <c r="B70" s="34">
        <v>201040217</v>
      </c>
      <c r="C70" s="34" t="s">
        <v>146</v>
      </c>
      <c r="D70" s="34" t="s">
        <v>100</v>
      </c>
      <c r="E70" s="34" t="s">
        <v>49</v>
      </c>
      <c r="F70" s="34">
        <f t="shared" si="1"/>
        <v>2</v>
      </c>
      <c r="G70" s="34">
        <v>8013</v>
      </c>
      <c r="H70" s="34" t="s">
        <v>257</v>
      </c>
      <c r="I70" s="35"/>
      <c r="J70" s="35">
        <v>60.5</v>
      </c>
      <c r="K70" s="35">
        <v>-60.5</v>
      </c>
      <c r="L70" s="35">
        <v>-1284.3800000000001</v>
      </c>
      <c r="M70" s="34" t="s">
        <v>779</v>
      </c>
    </row>
    <row r="71" spans="2:13" s="34" customFormat="1" ht="12.5" x14ac:dyDescent="0.25">
      <c r="B71" s="34">
        <v>201040217</v>
      </c>
      <c r="C71" s="34" t="s">
        <v>146</v>
      </c>
      <c r="D71" s="34" t="s">
        <v>100</v>
      </c>
      <c r="E71" s="34" t="s">
        <v>49</v>
      </c>
      <c r="F71" s="34">
        <f t="shared" si="1"/>
        <v>2</v>
      </c>
      <c r="G71" s="34">
        <v>8014</v>
      </c>
      <c r="H71" s="34" t="s">
        <v>258</v>
      </c>
      <c r="I71" s="35"/>
      <c r="J71" s="35">
        <v>11.89</v>
      </c>
      <c r="K71" s="35">
        <v>-11.89</v>
      </c>
      <c r="L71" s="35">
        <v>-1296.27</v>
      </c>
      <c r="M71" s="34" t="s">
        <v>779</v>
      </c>
    </row>
    <row r="72" spans="2:13" s="34" customFormat="1" ht="12.5" x14ac:dyDescent="0.25">
      <c r="B72" s="34">
        <v>201040217</v>
      </c>
      <c r="C72" s="34" t="s">
        <v>146</v>
      </c>
      <c r="D72" s="34" t="s">
        <v>50</v>
      </c>
      <c r="E72" s="34" t="s">
        <v>50</v>
      </c>
      <c r="F72" s="34">
        <f t="shared" si="1"/>
        <v>1</v>
      </c>
      <c r="G72" s="34">
        <v>7968</v>
      </c>
      <c r="H72" s="34" t="s">
        <v>259</v>
      </c>
      <c r="I72" s="35"/>
      <c r="J72" s="35">
        <v>0.55000000000000004</v>
      </c>
      <c r="K72" s="35">
        <v>-0.55000000000000004</v>
      </c>
      <c r="L72" s="35">
        <v>-1296.82</v>
      </c>
      <c r="M72" s="34" t="s">
        <v>779</v>
      </c>
    </row>
    <row r="73" spans="2:13" s="34" customFormat="1" ht="12.5" x14ac:dyDescent="0.25">
      <c r="B73" s="34">
        <v>201040217</v>
      </c>
      <c r="C73" s="34" t="s">
        <v>146</v>
      </c>
      <c r="D73" s="34" t="s">
        <v>50</v>
      </c>
      <c r="E73" s="34" t="s">
        <v>50</v>
      </c>
      <c r="F73" s="34">
        <f t="shared" si="1"/>
        <v>1</v>
      </c>
      <c r="G73" s="34">
        <v>8072</v>
      </c>
      <c r="H73" s="34" t="s">
        <v>209</v>
      </c>
      <c r="I73" s="35">
        <v>1073.7</v>
      </c>
      <c r="J73" s="35"/>
      <c r="K73" s="35">
        <v>1073.7</v>
      </c>
      <c r="L73" s="35">
        <v>-223.12</v>
      </c>
      <c r="M73" s="34" t="s">
        <v>782</v>
      </c>
    </row>
    <row r="74" spans="2:13" s="34" customFormat="1" ht="12.5" x14ac:dyDescent="0.25">
      <c r="B74" s="34">
        <v>201040217</v>
      </c>
      <c r="C74" s="34" t="s">
        <v>146</v>
      </c>
      <c r="D74" s="34" t="s">
        <v>53</v>
      </c>
      <c r="E74" s="34" t="s">
        <v>53</v>
      </c>
      <c r="F74" s="34">
        <f t="shared" si="1"/>
        <v>1</v>
      </c>
      <c r="G74" s="34">
        <v>8020</v>
      </c>
      <c r="H74" s="34" t="s">
        <v>260</v>
      </c>
      <c r="I74" s="35"/>
      <c r="J74" s="35">
        <v>4.54</v>
      </c>
      <c r="K74" s="35">
        <v>-4.54</v>
      </c>
      <c r="L74" s="35">
        <v>-227.66</v>
      </c>
      <c r="M74" s="34" t="s">
        <v>779</v>
      </c>
    </row>
    <row r="75" spans="2:13" s="34" customFormat="1" ht="12.5" x14ac:dyDescent="0.25">
      <c r="B75" s="34">
        <v>201040217</v>
      </c>
      <c r="C75" s="34" t="s">
        <v>146</v>
      </c>
      <c r="D75" s="34" t="s">
        <v>148</v>
      </c>
      <c r="E75" s="34" t="s">
        <v>148</v>
      </c>
      <c r="F75" s="34">
        <f t="shared" si="1"/>
        <v>1</v>
      </c>
      <c r="G75" s="34">
        <v>7970</v>
      </c>
      <c r="H75" s="34" t="s">
        <v>261</v>
      </c>
      <c r="I75" s="35"/>
      <c r="J75" s="35">
        <v>11.41</v>
      </c>
      <c r="K75" s="35">
        <v>-11.41</v>
      </c>
      <c r="L75" s="35">
        <v>-239.07</v>
      </c>
      <c r="M75" s="34" t="s">
        <v>779</v>
      </c>
    </row>
    <row r="76" spans="2:13" s="34" customFormat="1" ht="12.5" x14ac:dyDescent="0.25">
      <c r="B76" s="34">
        <v>201040217</v>
      </c>
      <c r="C76" s="34" t="s">
        <v>146</v>
      </c>
      <c r="D76" s="34" t="s">
        <v>98</v>
      </c>
      <c r="E76" s="34" t="s">
        <v>98</v>
      </c>
      <c r="F76" s="34">
        <f t="shared" si="1"/>
        <v>1</v>
      </c>
      <c r="G76" s="34">
        <v>8083</v>
      </c>
      <c r="H76" s="34" t="s">
        <v>262</v>
      </c>
      <c r="I76" s="35"/>
      <c r="J76" s="35">
        <v>13.2</v>
      </c>
      <c r="K76" s="35">
        <v>-13.2</v>
      </c>
      <c r="L76" s="35">
        <v>-252.27</v>
      </c>
      <c r="M76" s="34" t="s">
        <v>779</v>
      </c>
    </row>
    <row r="77" spans="2:13" s="34" customFormat="1" ht="12.5" x14ac:dyDescent="0.25">
      <c r="B77" s="34">
        <v>201040217</v>
      </c>
      <c r="C77" s="34" t="s">
        <v>146</v>
      </c>
      <c r="D77" s="34" t="s">
        <v>149</v>
      </c>
      <c r="E77" s="34" t="s">
        <v>149</v>
      </c>
      <c r="F77" s="34">
        <f t="shared" si="1"/>
        <v>2</v>
      </c>
      <c r="G77" s="34">
        <v>8085</v>
      </c>
      <c r="H77" s="34" t="s">
        <v>263</v>
      </c>
      <c r="I77" s="35"/>
      <c r="J77" s="35">
        <v>1.38</v>
      </c>
      <c r="K77" s="35">
        <v>-1.38</v>
      </c>
      <c r="L77" s="35">
        <v>-253.65</v>
      </c>
      <c r="M77" s="34" t="s">
        <v>779</v>
      </c>
    </row>
    <row r="78" spans="2:13" s="34" customFormat="1" ht="12.5" x14ac:dyDescent="0.25">
      <c r="B78" s="34">
        <v>201040217</v>
      </c>
      <c r="C78" s="34" t="s">
        <v>146</v>
      </c>
      <c r="D78" s="34" t="s">
        <v>149</v>
      </c>
      <c r="E78" s="34" t="s">
        <v>149</v>
      </c>
      <c r="F78" s="34">
        <f t="shared" si="1"/>
        <v>2</v>
      </c>
      <c r="G78" s="34">
        <v>8086</v>
      </c>
      <c r="H78" s="34" t="s">
        <v>264</v>
      </c>
      <c r="I78" s="35"/>
      <c r="J78" s="35">
        <v>11</v>
      </c>
      <c r="K78" s="35">
        <v>-11</v>
      </c>
      <c r="L78" s="35">
        <v>-264.64999999999998</v>
      </c>
      <c r="M78" s="34" t="s">
        <v>779</v>
      </c>
    </row>
    <row r="79" spans="2:13" s="34" customFormat="1" ht="12.5" x14ac:dyDescent="0.25">
      <c r="B79" s="34">
        <v>201040217</v>
      </c>
      <c r="C79" s="34" t="s">
        <v>146</v>
      </c>
      <c r="D79" s="34" t="s">
        <v>128</v>
      </c>
      <c r="E79" s="34" t="s">
        <v>175</v>
      </c>
      <c r="F79" s="34">
        <f t="shared" si="1"/>
        <v>3</v>
      </c>
      <c r="G79" s="34">
        <v>8089</v>
      </c>
      <c r="H79" s="34" t="s">
        <v>265</v>
      </c>
      <c r="I79" s="35"/>
      <c r="J79" s="35">
        <v>60.5</v>
      </c>
      <c r="K79" s="35">
        <v>-60.5</v>
      </c>
      <c r="L79" s="35">
        <v>-325.14999999999998</v>
      </c>
      <c r="M79" s="34" t="s">
        <v>779</v>
      </c>
    </row>
    <row r="80" spans="2:13" s="34" customFormat="1" ht="12.5" x14ac:dyDescent="0.25">
      <c r="B80" s="34">
        <v>201040217</v>
      </c>
      <c r="C80" s="34" t="s">
        <v>146</v>
      </c>
      <c r="D80" s="34" t="s">
        <v>266</v>
      </c>
      <c r="E80" s="34" t="s">
        <v>58</v>
      </c>
      <c r="F80" s="34">
        <f t="shared" si="1"/>
        <v>3</v>
      </c>
      <c r="G80" s="34">
        <v>8092</v>
      </c>
      <c r="H80" s="34" t="s">
        <v>267</v>
      </c>
      <c r="I80" s="35"/>
      <c r="J80" s="35">
        <v>11.94</v>
      </c>
      <c r="K80" s="35">
        <v>-11.94</v>
      </c>
      <c r="L80" s="35">
        <v>-337.09</v>
      </c>
      <c r="M80" s="34" t="s">
        <v>779</v>
      </c>
    </row>
    <row r="81" spans="2:13" s="34" customFormat="1" ht="12.5" x14ac:dyDescent="0.25">
      <c r="B81" s="34">
        <v>201040217</v>
      </c>
      <c r="C81" s="34" t="s">
        <v>146</v>
      </c>
      <c r="D81" s="34" t="s">
        <v>60</v>
      </c>
      <c r="E81" s="34" t="s">
        <v>60</v>
      </c>
      <c r="F81" s="34">
        <f t="shared" si="1"/>
        <v>2</v>
      </c>
      <c r="G81" s="34">
        <v>8108</v>
      </c>
      <c r="H81" s="34" t="s">
        <v>268</v>
      </c>
      <c r="I81" s="35"/>
      <c r="J81" s="35">
        <v>190.03</v>
      </c>
      <c r="K81" s="35">
        <v>-190.03</v>
      </c>
      <c r="L81" s="35">
        <v>-527.12</v>
      </c>
      <c r="M81" s="34" t="s">
        <v>779</v>
      </c>
    </row>
    <row r="82" spans="2:13" s="34" customFormat="1" ht="12.5" x14ac:dyDescent="0.25">
      <c r="B82" s="34">
        <v>201040217</v>
      </c>
      <c r="C82" s="34" t="s">
        <v>146</v>
      </c>
      <c r="D82" s="34" t="s">
        <v>68</v>
      </c>
      <c r="E82" s="34" t="s">
        <v>60</v>
      </c>
      <c r="F82" s="34">
        <f t="shared" si="1"/>
        <v>3</v>
      </c>
      <c r="G82" s="34">
        <v>8264</v>
      </c>
      <c r="H82" s="34" t="s">
        <v>269</v>
      </c>
      <c r="I82" s="35"/>
      <c r="J82" s="35">
        <v>4.0999999999999996</v>
      </c>
      <c r="K82" s="35">
        <v>-4.0999999999999996</v>
      </c>
      <c r="L82" s="35">
        <v>-531.22</v>
      </c>
      <c r="M82" s="34" t="s">
        <v>779</v>
      </c>
    </row>
    <row r="83" spans="2:13" s="34" customFormat="1" ht="12.5" x14ac:dyDescent="0.25">
      <c r="B83" s="34">
        <v>201040217</v>
      </c>
      <c r="C83" s="34" t="s">
        <v>146</v>
      </c>
      <c r="D83" s="34" t="s">
        <v>68</v>
      </c>
      <c r="E83" s="34" t="s">
        <v>60</v>
      </c>
      <c r="F83" s="34">
        <f t="shared" si="1"/>
        <v>3</v>
      </c>
      <c r="G83" s="34">
        <v>8267</v>
      </c>
      <c r="H83" s="34" t="s">
        <v>270</v>
      </c>
      <c r="I83" s="35"/>
      <c r="J83" s="35">
        <v>-4.0999999999999996</v>
      </c>
      <c r="K83" s="35">
        <v>4.0999999999999996</v>
      </c>
      <c r="L83" s="35">
        <v>-527.12</v>
      </c>
      <c r="M83" s="34" t="s">
        <v>779</v>
      </c>
    </row>
    <row r="84" spans="2:13" s="34" customFormat="1" ht="12.5" x14ac:dyDescent="0.25">
      <c r="B84" s="34">
        <v>201040217</v>
      </c>
      <c r="C84" s="34" t="s">
        <v>146</v>
      </c>
      <c r="D84" s="34" t="s">
        <v>62</v>
      </c>
      <c r="E84" s="34" t="s">
        <v>62</v>
      </c>
      <c r="F84" s="34">
        <f t="shared" si="1"/>
        <v>2</v>
      </c>
      <c r="G84" s="34">
        <v>8113</v>
      </c>
      <c r="H84" s="34" t="s">
        <v>271</v>
      </c>
      <c r="I84" s="35"/>
      <c r="J84" s="35">
        <v>1.65</v>
      </c>
      <c r="K84" s="35">
        <v>-1.65</v>
      </c>
      <c r="L84" s="35">
        <v>-528.77</v>
      </c>
      <c r="M84" s="34" t="s">
        <v>779</v>
      </c>
    </row>
    <row r="85" spans="2:13" s="34" customFormat="1" ht="12.5" x14ac:dyDescent="0.25">
      <c r="B85" s="34">
        <v>201040217</v>
      </c>
      <c r="C85" s="34" t="s">
        <v>146</v>
      </c>
      <c r="D85" s="34" t="s">
        <v>62</v>
      </c>
      <c r="E85" s="34" t="s">
        <v>62</v>
      </c>
      <c r="F85" s="34">
        <f t="shared" si="1"/>
        <v>2</v>
      </c>
      <c r="G85" s="34">
        <v>8114</v>
      </c>
      <c r="H85" s="34" t="s">
        <v>272</v>
      </c>
      <c r="I85" s="35"/>
      <c r="J85" s="35">
        <v>3.3</v>
      </c>
      <c r="K85" s="35">
        <v>-3.3</v>
      </c>
      <c r="L85" s="35">
        <v>-532.07000000000005</v>
      </c>
      <c r="M85" s="34" t="s">
        <v>779</v>
      </c>
    </row>
    <row r="86" spans="2:13" s="34" customFormat="1" ht="12.5" x14ac:dyDescent="0.25">
      <c r="B86" s="34">
        <v>201040217</v>
      </c>
      <c r="C86" s="34" t="s">
        <v>146</v>
      </c>
      <c r="D86" s="34" t="s">
        <v>62</v>
      </c>
      <c r="E86" s="34" t="s">
        <v>62</v>
      </c>
      <c r="F86" s="34">
        <f t="shared" si="1"/>
        <v>2</v>
      </c>
      <c r="G86" s="34">
        <v>8115</v>
      </c>
      <c r="H86" s="34" t="s">
        <v>273</v>
      </c>
      <c r="I86" s="35"/>
      <c r="J86" s="35">
        <v>3.3</v>
      </c>
      <c r="K86" s="35">
        <v>-3.3</v>
      </c>
      <c r="L86" s="35">
        <v>-535.37</v>
      </c>
      <c r="M86" s="34" t="s">
        <v>779</v>
      </c>
    </row>
    <row r="87" spans="2:13" s="34" customFormat="1" ht="12.5" x14ac:dyDescent="0.25">
      <c r="B87" s="34">
        <v>201040217</v>
      </c>
      <c r="C87" s="34" t="s">
        <v>146</v>
      </c>
      <c r="D87" s="34" t="s">
        <v>52</v>
      </c>
      <c r="E87" s="34" t="s">
        <v>52</v>
      </c>
      <c r="F87" s="34">
        <f t="shared" si="1"/>
        <v>2</v>
      </c>
      <c r="G87" s="34">
        <v>8312</v>
      </c>
      <c r="H87" s="34" t="s">
        <v>178</v>
      </c>
      <c r="I87" s="35">
        <v>252.27</v>
      </c>
      <c r="J87" s="35"/>
      <c r="K87" s="35">
        <v>252.27</v>
      </c>
      <c r="L87" s="35">
        <v>-283.10000000000002</v>
      </c>
      <c r="M87" s="34" t="s">
        <v>782</v>
      </c>
    </row>
    <row r="88" spans="2:13" s="34" customFormat="1" ht="12.5" x14ac:dyDescent="0.25">
      <c r="B88" s="34">
        <v>201040217</v>
      </c>
      <c r="C88" s="34" t="s">
        <v>146</v>
      </c>
      <c r="D88" s="34" t="s">
        <v>152</v>
      </c>
      <c r="E88" s="34" t="s">
        <v>152</v>
      </c>
      <c r="F88" s="34">
        <f t="shared" si="1"/>
        <v>2</v>
      </c>
      <c r="G88" s="34">
        <v>8262</v>
      </c>
      <c r="H88" s="34" t="s">
        <v>274</v>
      </c>
      <c r="I88" s="35"/>
      <c r="J88" s="35">
        <v>3.3</v>
      </c>
      <c r="K88" s="35">
        <v>-3.3</v>
      </c>
      <c r="L88" s="35">
        <v>-286.39999999999998</v>
      </c>
      <c r="M88" s="34" t="s">
        <v>779</v>
      </c>
    </row>
    <row r="89" spans="2:13" s="34" customFormat="1" ht="12.5" x14ac:dyDescent="0.25">
      <c r="B89" s="34">
        <v>201040217</v>
      </c>
      <c r="C89" s="34" t="s">
        <v>146</v>
      </c>
      <c r="D89" s="34" t="s">
        <v>102</v>
      </c>
      <c r="E89" s="34" t="s">
        <v>102</v>
      </c>
      <c r="F89" s="34">
        <f t="shared" si="1"/>
        <v>3</v>
      </c>
      <c r="G89" s="34">
        <v>8285</v>
      </c>
      <c r="H89" s="34" t="s">
        <v>275</v>
      </c>
      <c r="I89" s="35"/>
      <c r="J89" s="35">
        <v>1.38</v>
      </c>
      <c r="K89" s="35">
        <v>-1.38</v>
      </c>
      <c r="L89" s="35">
        <v>-287.77999999999997</v>
      </c>
      <c r="M89" s="34" t="s">
        <v>779</v>
      </c>
    </row>
    <row r="90" spans="2:13" s="34" customFormat="1" ht="12.5" x14ac:dyDescent="0.25">
      <c r="B90" s="34">
        <v>201040217</v>
      </c>
      <c r="C90" s="34" t="s">
        <v>146</v>
      </c>
      <c r="D90" s="34" t="s">
        <v>101</v>
      </c>
      <c r="E90" s="34" t="s">
        <v>128</v>
      </c>
      <c r="F90" s="34">
        <f t="shared" si="1"/>
        <v>4</v>
      </c>
      <c r="G90" s="34">
        <v>8286</v>
      </c>
      <c r="H90" s="34" t="s">
        <v>276</v>
      </c>
      <c r="I90" s="35"/>
      <c r="J90" s="35">
        <v>60.5</v>
      </c>
      <c r="K90" s="35">
        <v>-60.5</v>
      </c>
      <c r="L90" s="35">
        <v>-348.28</v>
      </c>
      <c r="M90" s="34" t="s">
        <v>779</v>
      </c>
    </row>
    <row r="91" spans="2:13" s="34" customFormat="1" ht="12.5" x14ac:dyDescent="0.25">
      <c r="B91" s="34">
        <v>201040217</v>
      </c>
      <c r="C91" s="34" t="s">
        <v>146</v>
      </c>
      <c r="D91" s="34" t="s">
        <v>153</v>
      </c>
      <c r="E91" s="34" t="s">
        <v>153</v>
      </c>
      <c r="F91" s="34">
        <f t="shared" si="1"/>
        <v>3</v>
      </c>
      <c r="G91" s="34">
        <v>8288</v>
      </c>
      <c r="H91" s="34" t="s">
        <v>277</v>
      </c>
      <c r="I91" s="35"/>
      <c r="J91" s="35">
        <v>0.31</v>
      </c>
      <c r="K91" s="35">
        <v>-0.31</v>
      </c>
      <c r="L91" s="35">
        <v>-348.59</v>
      </c>
      <c r="M91" s="34" t="s">
        <v>779</v>
      </c>
    </row>
    <row r="92" spans="2:13" s="34" customFormat="1" ht="12.5" x14ac:dyDescent="0.25">
      <c r="B92" s="34">
        <v>201040217</v>
      </c>
      <c r="C92" s="34" t="s">
        <v>146</v>
      </c>
      <c r="D92" s="34" t="s">
        <v>153</v>
      </c>
      <c r="E92" s="34" t="s">
        <v>153</v>
      </c>
      <c r="F92" s="34">
        <f t="shared" si="1"/>
        <v>3</v>
      </c>
      <c r="G92" s="34">
        <v>8289</v>
      </c>
      <c r="H92" s="34" t="s">
        <v>278</v>
      </c>
      <c r="I92" s="35"/>
      <c r="J92" s="35">
        <v>11.92</v>
      </c>
      <c r="K92" s="35">
        <v>-11.92</v>
      </c>
      <c r="L92" s="35">
        <v>-360.51</v>
      </c>
      <c r="M92" s="34" t="s">
        <v>779</v>
      </c>
    </row>
    <row r="93" spans="2:13" s="34" customFormat="1" ht="12.5" x14ac:dyDescent="0.25">
      <c r="B93" s="34">
        <v>201040217</v>
      </c>
      <c r="C93" s="34" t="s">
        <v>146</v>
      </c>
      <c r="D93" s="34" t="s">
        <v>67</v>
      </c>
      <c r="E93" s="34" t="s">
        <v>67</v>
      </c>
      <c r="F93" s="34">
        <f t="shared" si="1"/>
        <v>3</v>
      </c>
      <c r="G93" s="34">
        <v>8290</v>
      </c>
      <c r="H93" s="34" t="s">
        <v>279</v>
      </c>
      <c r="I93" s="35"/>
      <c r="J93" s="35">
        <v>0.82</v>
      </c>
      <c r="K93" s="35">
        <v>-0.82</v>
      </c>
      <c r="L93" s="35">
        <v>-361.33</v>
      </c>
      <c r="M93" s="34" t="s">
        <v>779</v>
      </c>
    </row>
    <row r="94" spans="2:13" s="34" customFormat="1" ht="12.5" x14ac:dyDescent="0.25">
      <c r="B94" s="34">
        <v>201040217</v>
      </c>
      <c r="C94" s="34" t="s">
        <v>146</v>
      </c>
      <c r="D94" s="34" t="s">
        <v>67</v>
      </c>
      <c r="E94" s="34" t="s">
        <v>67</v>
      </c>
      <c r="F94" s="34">
        <f t="shared" si="1"/>
        <v>3</v>
      </c>
      <c r="G94" s="34">
        <v>8291</v>
      </c>
      <c r="H94" s="34" t="s">
        <v>280</v>
      </c>
      <c r="I94" s="35"/>
      <c r="J94" s="35">
        <v>5.23</v>
      </c>
      <c r="K94" s="35">
        <v>-5.23</v>
      </c>
      <c r="L94" s="35">
        <v>-366.56</v>
      </c>
      <c r="M94" s="34" t="s">
        <v>779</v>
      </c>
    </row>
    <row r="95" spans="2:13" s="34" customFormat="1" ht="12.5" x14ac:dyDescent="0.25">
      <c r="B95" s="34">
        <v>201040217</v>
      </c>
      <c r="C95" s="34" t="s">
        <v>146</v>
      </c>
      <c r="D95" s="34" t="s">
        <v>74</v>
      </c>
      <c r="E95" s="34" t="s">
        <v>67</v>
      </c>
      <c r="F95" s="34">
        <f t="shared" si="1"/>
        <v>4</v>
      </c>
      <c r="G95" s="34">
        <v>8349</v>
      </c>
      <c r="H95" s="34" t="s">
        <v>281</v>
      </c>
      <c r="I95" s="35"/>
      <c r="J95" s="35">
        <v>11.94</v>
      </c>
      <c r="K95" s="35">
        <v>-11.94</v>
      </c>
      <c r="L95" s="35">
        <v>-378.5</v>
      </c>
      <c r="M95" s="34" t="s">
        <v>779</v>
      </c>
    </row>
    <row r="96" spans="2:13" s="34" customFormat="1" ht="12.5" x14ac:dyDescent="0.25">
      <c r="B96" s="34">
        <v>201040217</v>
      </c>
      <c r="C96" s="34" t="s">
        <v>146</v>
      </c>
      <c r="D96" s="34" t="s">
        <v>103</v>
      </c>
      <c r="E96" s="34" t="s">
        <v>103</v>
      </c>
      <c r="F96" s="34">
        <f t="shared" si="1"/>
        <v>3</v>
      </c>
      <c r="G96" s="34">
        <v>8348</v>
      </c>
      <c r="H96" s="34" t="s">
        <v>282</v>
      </c>
      <c r="I96" s="35"/>
      <c r="J96" s="35">
        <v>11</v>
      </c>
      <c r="K96" s="35">
        <v>-11</v>
      </c>
      <c r="L96" s="35">
        <v>-389.5</v>
      </c>
      <c r="M96" s="34" t="s">
        <v>779</v>
      </c>
    </row>
    <row r="97" spans="2:13" s="34" customFormat="1" ht="12.5" x14ac:dyDescent="0.25">
      <c r="B97" s="34">
        <v>201040217</v>
      </c>
      <c r="C97" s="34" t="s">
        <v>146</v>
      </c>
      <c r="D97" s="34" t="s">
        <v>68</v>
      </c>
      <c r="E97" s="34" t="s">
        <v>68</v>
      </c>
      <c r="F97" s="34">
        <f t="shared" si="1"/>
        <v>3</v>
      </c>
      <c r="G97" s="34">
        <v>8351</v>
      </c>
      <c r="H97" s="34" t="s">
        <v>283</v>
      </c>
      <c r="I97" s="35"/>
      <c r="J97" s="35">
        <v>55</v>
      </c>
      <c r="K97" s="35">
        <v>-55</v>
      </c>
      <c r="L97" s="35">
        <v>-444.5</v>
      </c>
      <c r="M97" s="34" t="s">
        <v>779</v>
      </c>
    </row>
    <row r="98" spans="2:13" s="34" customFormat="1" ht="12.5" x14ac:dyDescent="0.25">
      <c r="B98" s="34">
        <v>201040217</v>
      </c>
      <c r="C98" s="34" t="s">
        <v>146</v>
      </c>
      <c r="D98" s="34" t="s">
        <v>104</v>
      </c>
      <c r="E98" s="34" t="s">
        <v>284</v>
      </c>
      <c r="F98" s="34">
        <f t="shared" si="1"/>
        <v>3</v>
      </c>
      <c r="G98" s="34">
        <v>8322</v>
      </c>
      <c r="H98" s="34" t="s">
        <v>285</v>
      </c>
      <c r="I98" s="35"/>
      <c r="J98" s="35">
        <v>13.63</v>
      </c>
      <c r="K98" s="35">
        <v>-13.63</v>
      </c>
      <c r="L98" s="35">
        <v>-458.13</v>
      </c>
      <c r="M98" s="34" t="s">
        <v>779</v>
      </c>
    </row>
    <row r="99" spans="2:13" s="34" customFormat="1" ht="12.5" x14ac:dyDescent="0.25">
      <c r="B99" s="34">
        <v>201040217</v>
      </c>
      <c r="C99" s="34" t="s">
        <v>146</v>
      </c>
      <c r="D99" s="34" t="s">
        <v>104</v>
      </c>
      <c r="E99" s="34" t="s">
        <v>104</v>
      </c>
      <c r="F99" s="34">
        <f t="shared" si="1"/>
        <v>3</v>
      </c>
      <c r="G99" s="34">
        <v>8321</v>
      </c>
      <c r="H99" s="34" t="s">
        <v>286</v>
      </c>
      <c r="I99" s="35"/>
      <c r="J99" s="35">
        <v>16.5</v>
      </c>
      <c r="K99" s="35">
        <v>-16.5</v>
      </c>
      <c r="L99" s="35">
        <v>-474.63</v>
      </c>
      <c r="M99" s="34" t="s">
        <v>779</v>
      </c>
    </row>
    <row r="100" spans="2:13" s="34" customFormat="1" ht="12.5" x14ac:dyDescent="0.25">
      <c r="B100" s="34">
        <v>201040217</v>
      </c>
      <c r="C100" s="34" t="s">
        <v>146</v>
      </c>
      <c r="D100" s="34" t="s">
        <v>105</v>
      </c>
      <c r="E100" s="34" t="s">
        <v>105</v>
      </c>
      <c r="F100" s="34">
        <f t="shared" si="1"/>
        <v>3</v>
      </c>
      <c r="G100" s="34">
        <v>8334</v>
      </c>
      <c r="H100" s="34" t="s">
        <v>287</v>
      </c>
      <c r="I100" s="35"/>
      <c r="J100" s="35">
        <v>1.65</v>
      </c>
      <c r="K100" s="35">
        <v>-1.65</v>
      </c>
      <c r="L100" s="35">
        <v>-476.28</v>
      </c>
      <c r="M100" s="34" t="s">
        <v>779</v>
      </c>
    </row>
    <row r="101" spans="2:13" s="34" customFormat="1" ht="12.5" x14ac:dyDescent="0.25">
      <c r="B101" s="34">
        <v>201040217</v>
      </c>
      <c r="C101" s="34" t="s">
        <v>146</v>
      </c>
      <c r="D101" s="34" t="s">
        <v>69</v>
      </c>
      <c r="E101" s="34" t="s">
        <v>69</v>
      </c>
      <c r="F101" s="34">
        <f t="shared" si="1"/>
        <v>3</v>
      </c>
      <c r="G101" s="34">
        <v>8369</v>
      </c>
      <c r="H101" s="34" t="s">
        <v>180</v>
      </c>
      <c r="I101" s="35">
        <v>286.39999999999998</v>
      </c>
      <c r="J101" s="35"/>
      <c r="K101" s="35">
        <v>286.39999999999998</v>
      </c>
      <c r="L101" s="35">
        <v>-189.88</v>
      </c>
      <c r="M101" s="34" t="s">
        <v>782</v>
      </c>
    </row>
    <row r="102" spans="2:13" s="34" customFormat="1" ht="12.5" x14ac:dyDescent="0.25">
      <c r="B102" s="34">
        <v>201040217</v>
      </c>
      <c r="C102" s="34" t="s">
        <v>146</v>
      </c>
      <c r="D102" s="34" t="s">
        <v>72</v>
      </c>
      <c r="E102" s="34" t="s">
        <v>72</v>
      </c>
      <c r="F102" s="34">
        <f t="shared" si="1"/>
        <v>4</v>
      </c>
      <c r="G102" s="34">
        <v>8407</v>
      </c>
      <c r="H102" s="34" t="s">
        <v>288</v>
      </c>
      <c r="I102" s="35"/>
      <c r="J102" s="35">
        <v>1.38</v>
      </c>
      <c r="K102" s="35">
        <v>-1.38</v>
      </c>
      <c r="L102" s="35">
        <v>-191.26</v>
      </c>
      <c r="M102" s="34" t="s">
        <v>779</v>
      </c>
    </row>
    <row r="103" spans="2:13" s="34" customFormat="1" ht="12.5" x14ac:dyDescent="0.25">
      <c r="B103" s="34">
        <v>201040217</v>
      </c>
      <c r="C103" s="34" t="s">
        <v>146</v>
      </c>
      <c r="D103" s="34" t="s">
        <v>72</v>
      </c>
      <c r="E103" s="34" t="s">
        <v>72</v>
      </c>
      <c r="F103" s="34">
        <f t="shared" si="1"/>
        <v>4</v>
      </c>
      <c r="G103" s="34">
        <v>8409</v>
      </c>
      <c r="H103" s="34" t="s">
        <v>289</v>
      </c>
      <c r="I103" s="35"/>
      <c r="J103" s="35">
        <v>1.65</v>
      </c>
      <c r="K103" s="35">
        <v>-1.65</v>
      </c>
      <c r="L103" s="35">
        <v>-192.91</v>
      </c>
      <c r="M103" s="34" t="s">
        <v>779</v>
      </c>
    </row>
    <row r="104" spans="2:13" s="34" customFormat="1" ht="12.5" x14ac:dyDescent="0.25">
      <c r="B104" s="34">
        <v>201040217</v>
      </c>
      <c r="C104" s="34" t="s">
        <v>146</v>
      </c>
      <c r="D104" s="34" t="s">
        <v>72</v>
      </c>
      <c r="E104" s="34" t="s">
        <v>72</v>
      </c>
      <c r="F104" s="34">
        <f t="shared" si="1"/>
        <v>4</v>
      </c>
      <c r="G104" s="34">
        <v>8411</v>
      </c>
      <c r="H104" s="34" t="s">
        <v>290</v>
      </c>
      <c r="I104" s="35"/>
      <c r="J104" s="35">
        <v>1.65</v>
      </c>
      <c r="K104" s="35">
        <v>-1.65</v>
      </c>
      <c r="L104" s="35">
        <v>-194.56</v>
      </c>
      <c r="M104" s="34" t="s">
        <v>779</v>
      </c>
    </row>
    <row r="105" spans="2:13" s="34" customFormat="1" ht="12.5" x14ac:dyDescent="0.25">
      <c r="B105" s="34">
        <v>201040217</v>
      </c>
      <c r="C105" s="34" t="s">
        <v>146</v>
      </c>
      <c r="D105" s="34" t="s">
        <v>72</v>
      </c>
      <c r="E105" s="34" t="s">
        <v>72</v>
      </c>
      <c r="F105" s="34">
        <f t="shared" si="1"/>
        <v>4</v>
      </c>
      <c r="G105" s="34">
        <v>8477</v>
      </c>
      <c r="H105" s="34" t="s">
        <v>291</v>
      </c>
      <c r="I105" s="35"/>
      <c r="J105" s="35">
        <v>70.13</v>
      </c>
      <c r="K105" s="35">
        <v>-70.13</v>
      </c>
      <c r="L105" s="35">
        <v>-264.69</v>
      </c>
      <c r="M105" s="34" t="s">
        <v>779</v>
      </c>
    </row>
    <row r="106" spans="2:13" s="34" customFormat="1" ht="12.5" x14ac:dyDescent="0.25">
      <c r="B106" s="34">
        <v>201040217</v>
      </c>
      <c r="C106" s="34" t="s">
        <v>146</v>
      </c>
      <c r="D106" s="34" t="s">
        <v>154</v>
      </c>
      <c r="E106" s="34" t="s">
        <v>73</v>
      </c>
      <c r="F106" s="34">
        <f t="shared" si="1"/>
        <v>5</v>
      </c>
      <c r="G106" s="34">
        <v>8474</v>
      </c>
      <c r="H106" s="34" t="s">
        <v>292</v>
      </c>
      <c r="I106" s="35"/>
      <c r="J106" s="35">
        <v>60.5</v>
      </c>
      <c r="K106" s="35">
        <v>-60.5</v>
      </c>
      <c r="L106" s="35">
        <v>-325.19</v>
      </c>
      <c r="M106" s="34" t="s">
        <v>779</v>
      </c>
    </row>
    <row r="107" spans="2:13" s="34" customFormat="1" ht="12.5" x14ac:dyDescent="0.25">
      <c r="B107" s="34">
        <v>201040217</v>
      </c>
      <c r="C107" s="34" t="s">
        <v>146</v>
      </c>
      <c r="D107" s="34" t="s">
        <v>74</v>
      </c>
      <c r="E107" s="34" t="s">
        <v>74</v>
      </c>
      <c r="F107" s="34">
        <f t="shared" si="1"/>
        <v>4</v>
      </c>
      <c r="G107" s="34">
        <v>8417</v>
      </c>
      <c r="H107" s="34" t="s">
        <v>293</v>
      </c>
      <c r="I107" s="35"/>
      <c r="J107" s="35">
        <v>6.14</v>
      </c>
      <c r="K107" s="35">
        <v>-6.14</v>
      </c>
      <c r="L107" s="35">
        <v>-331.33</v>
      </c>
      <c r="M107" s="34" t="s">
        <v>779</v>
      </c>
    </row>
    <row r="108" spans="2:13" s="34" customFormat="1" ht="12.5" x14ac:dyDescent="0.25">
      <c r="B108" s="34">
        <v>201040217</v>
      </c>
      <c r="C108" s="34" t="s">
        <v>146</v>
      </c>
      <c r="D108" s="34" t="s">
        <v>74</v>
      </c>
      <c r="E108" s="34" t="s">
        <v>74</v>
      </c>
      <c r="F108" s="34">
        <f t="shared" si="1"/>
        <v>4</v>
      </c>
      <c r="G108" s="34">
        <v>8478</v>
      </c>
      <c r="H108" s="34" t="s">
        <v>294</v>
      </c>
      <c r="I108" s="35"/>
      <c r="J108" s="35">
        <v>16.47</v>
      </c>
      <c r="K108" s="35">
        <v>-16.47</v>
      </c>
      <c r="L108" s="35">
        <v>-347.8</v>
      </c>
      <c r="M108" s="34" t="s">
        <v>779</v>
      </c>
    </row>
    <row r="109" spans="2:13" s="34" customFormat="1" ht="12.5" x14ac:dyDescent="0.25">
      <c r="B109" s="34">
        <v>201040217</v>
      </c>
      <c r="C109" s="34" t="s">
        <v>146</v>
      </c>
      <c r="D109" s="34" t="s">
        <v>76</v>
      </c>
      <c r="E109" s="34" t="s">
        <v>76</v>
      </c>
      <c r="F109" s="34">
        <f t="shared" si="1"/>
        <v>4</v>
      </c>
      <c r="G109" s="34">
        <v>8418</v>
      </c>
      <c r="H109" s="34" t="s">
        <v>295</v>
      </c>
      <c r="I109" s="35"/>
      <c r="J109" s="35">
        <v>1.65</v>
      </c>
      <c r="K109" s="35">
        <v>-1.65</v>
      </c>
      <c r="L109" s="35">
        <v>-349.45</v>
      </c>
      <c r="M109" s="34" t="s">
        <v>779</v>
      </c>
    </row>
    <row r="110" spans="2:13" s="34" customFormat="1" ht="12.5" x14ac:dyDescent="0.25">
      <c r="B110" s="34">
        <v>201040217</v>
      </c>
      <c r="C110" s="34" t="s">
        <v>146</v>
      </c>
      <c r="D110" s="34" t="s">
        <v>76</v>
      </c>
      <c r="E110" s="34" t="s">
        <v>76</v>
      </c>
      <c r="F110" s="34">
        <f t="shared" si="1"/>
        <v>4</v>
      </c>
      <c r="G110" s="34">
        <v>8419</v>
      </c>
      <c r="H110" s="34" t="s">
        <v>296</v>
      </c>
      <c r="I110" s="35"/>
      <c r="J110" s="35">
        <v>1.65</v>
      </c>
      <c r="K110" s="35">
        <v>-1.65</v>
      </c>
      <c r="L110" s="35">
        <v>-351.1</v>
      </c>
      <c r="M110" s="34" t="s">
        <v>779</v>
      </c>
    </row>
    <row r="111" spans="2:13" s="34" customFormat="1" ht="12.5" x14ac:dyDescent="0.25">
      <c r="B111" s="34">
        <v>201040217</v>
      </c>
      <c r="C111" s="34" t="s">
        <v>146</v>
      </c>
      <c r="D111" s="34" t="s">
        <v>76</v>
      </c>
      <c r="E111" s="34" t="s">
        <v>76</v>
      </c>
      <c r="F111" s="34">
        <f t="shared" si="1"/>
        <v>4</v>
      </c>
      <c r="G111" s="34">
        <v>8475</v>
      </c>
      <c r="H111" s="34" t="s">
        <v>297</v>
      </c>
      <c r="I111" s="35"/>
      <c r="J111" s="35">
        <v>1.65</v>
      </c>
      <c r="K111" s="35">
        <v>-1.65</v>
      </c>
      <c r="L111" s="35">
        <v>-352.75</v>
      </c>
      <c r="M111" s="34" t="s">
        <v>779</v>
      </c>
    </row>
    <row r="112" spans="2:13" s="34" customFormat="1" ht="12.5" x14ac:dyDescent="0.25">
      <c r="B112" s="34">
        <v>201040217</v>
      </c>
      <c r="C112" s="34" t="s">
        <v>146</v>
      </c>
      <c r="D112" s="34" t="s">
        <v>86</v>
      </c>
      <c r="E112" s="34" t="s">
        <v>78</v>
      </c>
      <c r="F112" s="34">
        <f t="shared" si="1"/>
        <v>5</v>
      </c>
      <c r="G112" s="34">
        <v>8420</v>
      </c>
      <c r="H112" s="34" t="s">
        <v>298</v>
      </c>
      <c r="I112" s="35"/>
      <c r="J112" s="35">
        <v>11.94</v>
      </c>
      <c r="K112" s="35">
        <v>-11.94</v>
      </c>
      <c r="L112" s="35">
        <v>-364.69</v>
      </c>
      <c r="M112" s="34" t="s">
        <v>779</v>
      </c>
    </row>
    <row r="113" spans="2:13" s="34" customFormat="1" ht="12.5" x14ac:dyDescent="0.25">
      <c r="B113" s="34">
        <v>201040217</v>
      </c>
      <c r="C113" s="34" t="s">
        <v>146</v>
      </c>
      <c r="D113" s="34" t="s">
        <v>78</v>
      </c>
      <c r="E113" s="34" t="s">
        <v>78</v>
      </c>
      <c r="F113" s="34">
        <f t="shared" si="1"/>
        <v>4</v>
      </c>
      <c r="G113" s="34">
        <v>8479</v>
      </c>
      <c r="H113" s="34" t="s">
        <v>299</v>
      </c>
      <c r="I113" s="35"/>
      <c r="J113" s="35">
        <v>17.11</v>
      </c>
      <c r="K113" s="35">
        <v>-17.11</v>
      </c>
      <c r="L113" s="35">
        <v>-381.8</v>
      </c>
      <c r="M113" s="34" t="s">
        <v>779</v>
      </c>
    </row>
    <row r="114" spans="2:13" s="34" customFormat="1" ht="12.5" x14ac:dyDescent="0.25">
      <c r="B114" s="34">
        <v>201040217</v>
      </c>
      <c r="C114" s="34" t="s">
        <v>146</v>
      </c>
      <c r="D114" s="34" t="s">
        <v>78</v>
      </c>
      <c r="E114" s="34" t="s">
        <v>78</v>
      </c>
      <c r="F114" s="34">
        <f t="shared" si="1"/>
        <v>4</v>
      </c>
      <c r="G114" s="34">
        <v>8480</v>
      </c>
      <c r="H114" s="34" t="s">
        <v>300</v>
      </c>
      <c r="I114" s="35"/>
      <c r="J114" s="35">
        <v>13.24</v>
      </c>
      <c r="K114" s="35">
        <v>-13.24</v>
      </c>
      <c r="L114" s="35">
        <v>-395.04</v>
      </c>
      <c r="M114" s="34" t="s">
        <v>779</v>
      </c>
    </row>
    <row r="115" spans="2:13" s="34" customFormat="1" ht="12.5" x14ac:dyDescent="0.25">
      <c r="B115" s="34">
        <v>201040217</v>
      </c>
      <c r="C115" s="34" t="s">
        <v>146</v>
      </c>
      <c r="D115" s="34" t="s">
        <v>78</v>
      </c>
      <c r="E115" s="34" t="s">
        <v>78</v>
      </c>
      <c r="F115" s="34">
        <f t="shared" si="1"/>
        <v>4</v>
      </c>
      <c r="G115" s="34">
        <v>8572</v>
      </c>
      <c r="H115" s="34" t="s">
        <v>186</v>
      </c>
      <c r="I115" s="35">
        <v>189.86</v>
      </c>
      <c r="J115" s="35"/>
      <c r="K115" s="35">
        <v>189.86</v>
      </c>
      <c r="L115" s="35">
        <v>-205.18</v>
      </c>
      <c r="M115" s="34" t="s">
        <v>782</v>
      </c>
    </row>
    <row r="116" spans="2:13" s="34" customFormat="1" ht="12.5" x14ac:dyDescent="0.25">
      <c r="B116" s="34">
        <v>201040217</v>
      </c>
      <c r="C116" s="34" t="s">
        <v>146</v>
      </c>
      <c r="D116" s="34" t="s">
        <v>110</v>
      </c>
      <c r="E116" s="34" t="s">
        <v>110</v>
      </c>
      <c r="F116" s="34">
        <f t="shared" si="1"/>
        <v>4</v>
      </c>
      <c r="G116" s="34">
        <v>8444</v>
      </c>
      <c r="H116" s="34" t="s">
        <v>301</v>
      </c>
      <c r="I116" s="35"/>
      <c r="J116" s="35">
        <v>1.28</v>
      </c>
      <c r="K116" s="35">
        <v>-1.28</v>
      </c>
      <c r="L116" s="35">
        <v>-206.46</v>
      </c>
      <c r="M116" s="34" t="s">
        <v>779</v>
      </c>
    </row>
    <row r="117" spans="2:13" s="34" customFormat="1" ht="12.5" x14ac:dyDescent="0.25">
      <c r="B117" s="34">
        <v>201040217</v>
      </c>
      <c r="C117" s="34" t="s">
        <v>146</v>
      </c>
      <c r="D117" s="34" t="s">
        <v>80</v>
      </c>
      <c r="E117" s="34" t="s">
        <v>82</v>
      </c>
      <c r="F117" s="34">
        <f t="shared" si="1"/>
        <v>5</v>
      </c>
      <c r="G117" s="34">
        <v>8521</v>
      </c>
      <c r="H117" s="34" t="s">
        <v>302</v>
      </c>
      <c r="I117" s="35"/>
      <c r="J117" s="35">
        <v>70.13</v>
      </c>
      <c r="K117" s="35">
        <v>-70.13</v>
      </c>
      <c r="L117" s="35">
        <v>-276.58999999999997</v>
      </c>
      <c r="M117" s="34" t="s">
        <v>779</v>
      </c>
    </row>
    <row r="118" spans="2:13" s="34" customFormat="1" ht="12.5" x14ac:dyDescent="0.25">
      <c r="B118" s="34">
        <v>201040217</v>
      </c>
      <c r="C118" s="34" t="s">
        <v>146</v>
      </c>
      <c r="D118" s="34" t="s">
        <v>80</v>
      </c>
      <c r="E118" s="34" t="s">
        <v>82</v>
      </c>
      <c r="F118" s="34">
        <f t="shared" si="1"/>
        <v>5</v>
      </c>
      <c r="G118" s="34">
        <v>8522</v>
      </c>
      <c r="H118" s="34" t="s">
        <v>303</v>
      </c>
      <c r="I118" s="35"/>
      <c r="J118" s="35">
        <v>70.13</v>
      </c>
      <c r="K118" s="35">
        <v>-70.13</v>
      </c>
      <c r="L118" s="35">
        <v>-346.72</v>
      </c>
      <c r="M118" s="34" t="s">
        <v>779</v>
      </c>
    </row>
    <row r="119" spans="2:13" s="34" customFormat="1" ht="12.5" x14ac:dyDescent="0.25">
      <c r="B119" s="34">
        <v>201040217</v>
      </c>
      <c r="C119" s="34" t="s">
        <v>146</v>
      </c>
      <c r="D119" s="34" t="s">
        <v>80</v>
      </c>
      <c r="E119" s="34" t="s">
        <v>82</v>
      </c>
      <c r="F119" s="34">
        <f t="shared" si="1"/>
        <v>5</v>
      </c>
      <c r="G119" s="34">
        <v>8523</v>
      </c>
      <c r="H119" s="34" t="s">
        <v>304</v>
      </c>
      <c r="I119" s="35"/>
      <c r="J119" s="35">
        <v>70.13</v>
      </c>
      <c r="K119" s="35">
        <v>-70.13</v>
      </c>
      <c r="L119" s="35">
        <v>-416.85</v>
      </c>
      <c r="M119" s="34" t="s">
        <v>779</v>
      </c>
    </row>
    <row r="120" spans="2:13" s="34" customFormat="1" ht="12.5" x14ac:dyDescent="0.25">
      <c r="B120" s="34">
        <v>201040217</v>
      </c>
      <c r="C120" s="34" t="s">
        <v>146</v>
      </c>
      <c r="D120" s="34" t="s">
        <v>80</v>
      </c>
      <c r="E120" s="34" t="s">
        <v>82</v>
      </c>
      <c r="F120" s="34">
        <f t="shared" si="1"/>
        <v>5</v>
      </c>
      <c r="G120" s="34">
        <v>8524</v>
      </c>
      <c r="H120" s="34" t="s">
        <v>305</v>
      </c>
      <c r="I120" s="35"/>
      <c r="J120" s="35">
        <v>70.13</v>
      </c>
      <c r="K120" s="35">
        <v>-70.13</v>
      </c>
      <c r="L120" s="35">
        <v>-486.98</v>
      </c>
      <c r="M120" s="34" t="s">
        <v>779</v>
      </c>
    </row>
    <row r="121" spans="2:13" s="34" customFormat="1" ht="12.5" x14ac:dyDescent="0.25">
      <c r="B121" s="34">
        <v>201040217</v>
      </c>
      <c r="C121" s="34" t="s">
        <v>146</v>
      </c>
      <c r="D121" s="34" t="s">
        <v>80</v>
      </c>
      <c r="E121" s="34" t="s">
        <v>82</v>
      </c>
      <c r="F121" s="34">
        <f t="shared" si="1"/>
        <v>5</v>
      </c>
      <c r="G121" s="34">
        <v>8525</v>
      </c>
      <c r="H121" s="34" t="s">
        <v>306</v>
      </c>
      <c r="I121" s="35"/>
      <c r="J121" s="35">
        <v>14.05</v>
      </c>
      <c r="K121" s="35">
        <v>-14.05</v>
      </c>
      <c r="L121" s="35">
        <v>-501.03</v>
      </c>
      <c r="M121" s="34" t="s">
        <v>779</v>
      </c>
    </row>
    <row r="122" spans="2:13" s="34" customFormat="1" ht="12.5" x14ac:dyDescent="0.25">
      <c r="B122" s="34">
        <v>201040217</v>
      </c>
      <c r="C122" s="34" t="s">
        <v>146</v>
      </c>
      <c r="D122" s="34" t="s">
        <v>80</v>
      </c>
      <c r="E122" s="34" t="s">
        <v>82</v>
      </c>
      <c r="F122" s="34">
        <f t="shared" si="1"/>
        <v>5</v>
      </c>
      <c r="G122" s="34">
        <v>8526</v>
      </c>
      <c r="H122" s="34" t="s">
        <v>307</v>
      </c>
      <c r="I122" s="35"/>
      <c r="J122" s="35">
        <v>10.92</v>
      </c>
      <c r="K122" s="35">
        <v>-10.92</v>
      </c>
      <c r="L122" s="35">
        <v>-511.95</v>
      </c>
      <c r="M122" s="34" t="s">
        <v>779</v>
      </c>
    </row>
    <row r="123" spans="2:13" s="34" customFormat="1" ht="12.5" x14ac:dyDescent="0.25">
      <c r="B123" s="34">
        <v>201040217</v>
      </c>
      <c r="C123" s="34" t="s">
        <v>146</v>
      </c>
      <c r="D123" s="34" t="s">
        <v>80</v>
      </c>
      <c r="E123" s="34" t="s">
        <v>82</v>
      </c>
      <c r="F123" s="34">
        <f t="shared" si="1"/>
        <v>5</v>
      </c>
      <c r="G123" s="34">
        <v>8527</v>
      </c>
      <c r="H123" s="34" t="s">
        <v>308</v>
      </c>
      <c r="I123" s="35"/>
      <c r="J123" s="35">
        <v>7.51</v>
      </c>
      <c r="K123" s="35">
        <v>-7.51</v>
      </c>
      <c r="L123" s="35">
        <v>-519.46</v>
      </c>
      <c r="M123" s="34" t="s">
        <v>779</v>
      </c>
    </row>
    <row r="124" spans="2:13" s="34" customFormat="1" ht="12.5" x14ac:dyDescent="0.25">
      <c r="B124" s="34">
        <v>201040217</v>
      </c>
      <c r="C124" s="34" t="s">
        <v>146</v>
      </c>
      <c r="D124" s="34" t="s">
        <v>80</v>
      </c>
      <c r="E124" s="34" t="s">
        <v>82</v>
      </c>
      <c r="F124" s="34">
        <f t="shared" si="1"/>
        <v>5</v>
      </c>
      <c r="G124" s="34">
        <v>8528</v>
      </c>
      <c r="H124" s="34" t="s">
        <v>309</v>
      </c>
      <c r="I124" s="35"/>
      <c r="J124" s="35">
        <v>17.88</v>
      </c>
      <c r="K124" s="35">
        <v>-17.88</v>
      </c>
      <c r="L124" s="35">
        <v>-537.34</v>
      </c>
      <c r="M124" s="34" t="s">
        <v>779</v>
      </c>
    </row>
    <row r="125" spans="2:13" s="34" customFormat="1" ht="12.5" x14ac:dyDescent="0.25">
      <c r="B125" s="34">
        <v>201040217</v>
      </c>
      <c r="C125" s="34" t="s">
        <v>146</v>
      </c>
      <c r="D125" s="34" t="s">
        <v>80</v>
      </c>
      <c r="E125" s="34" t="s">
        <v>82</v>
      </c>
      <c r="F125" s="34">
        <f t="shared" si="1"/>
        <v>5</v>
      </c>
      <c r="G125" s="34">
        <v>8529</v>
      </c>
      <c r="H125" s="34" t="s">
        <v>310</v>
      </c>
      <c r="I125" s="35"/>
      <c r="J125" s="35">
        <v>15.46</v>
      </c>
      <c r="K125" s="35">
        <v>-15.46</v>
      </c>
      <c r="L125" s="35">
        <v>-552.79999999999995</v>
      </c>
      <c r="M125" s="34" t="s">
        <v>779</v>
      </c>
    </row>
    <row r="126" spans="2:13" s="34" customFormat="1" ht="12.5" x14ac:dyDescent="0.25">
      <c r="B126" s="34">
        <v>201040217</v>
      </c>
      <c r="C126" s="34" t="s">
        <v>146</v>
      </c>
      <c r="D126" s="34" t="s">
        <v>80</v>
      </c>
      <c r="E126" s="34" t="s">
        <v>82</v>
      </c>
      <c r="F126" s="34">
        <f t="shared" si="1"/>
        <v>5</v>
      </c>
      <c r="G126" s="34">
        <v>8530</v>
      </c>
      <c r="H126" s="34" t="s">
        <v>311</v>
      </c>
      <c r="I126" s="35"/>
      <c r="J126" s="35">
        <v>-14.05</v>
      </c>
      <c r="K126" s="35">
        <v>14.05</v>
      </c>
      <c r="L126" s="35">
        <v>-538.75</v>
      </c>
      <c r="M126" s="34" t="s">
        <v>779</v>
      </c>
    </row>
    <row r="127" spans="2:13" s="34" customFormat="1" ht="12.5" x14ac:dyDescent="0.25">
      <c r="B127" s="34">
        <v>201040217</v>
      </c>
      <c r="C127" s="34" t="s">
        <v>146</v>
      </c>
      <c r="D127" s="34" t="s">
        <v>80</v>
      </c>
      <c r="E127" s="34" t="s">
        <v>82</v>
      </c>
      <c r="F127" s="34">
        <f t="shared" si="1"/>
        <v>5</v>
      </c>
      <c r="G127" s="34">
        <v>8531</v>
      </c>
      <c r="H127" s="34" t="s">
        <v>306</v>
      </c>
      <c r="I127" s="35"/>
      <c r="J127" s="35">
        <v>14.05</v>
      </c>
      <c r="K127" s="35">
        <v>-14.05</v>
      </c>
      <c r="L127" s="35">
        <v>-552.79999999999995</v>
      </c>
      <c r="M127" s="34" t="s">
        <v>779</v>
      </c>
    </row>
    <row r="128" spans="2:13" s="34" customFormat="1" ht="12.5" x14ac:dyDescent="0.25">
      <c r="B128" s="34">
        <v>201040217</v>
      </c>
      <c r="C128" s="34" t="s">
        <v>146</v>
      </c>
      <c r="D128" s="34" t="s">
        <v>83</v>
      </c>
      <c r="E128" s="34" t="s">
        <v>83</v>
      </c>
      <c r="F128" s="34">
        <f t="shared" si="1"/>
        <v>5</v>
      </c>
      <c r="G128" s="34">
        <v>8486</v>
      </c>
      <c r="H128" s="34" t="s">
        <v>312</v>
      </c>
      <c r="I128" s="35"/>
      <c r="J128" s="35">
        <v>6.27</v>
      </c>
      <c r="K128" s="35">
        <v>-6.27</v>
      </c>
      <c r="L128" s="35">
        <v>-559.07000000000005</v>
      </c>
      <c r="M128" s="34" t="s">
        <v>779</v>
      </c>
    </row>
    <row r="129" spans="2:13" s="34" customFormat="1" ht="12.5" x14ac:dyDescent="0.25">
      <c r="B129" s="34">
        <v>201040217</v>
      </c>
      <c r="C129" s="34" t="s">
        <v>146</v>
      </c>
      <c r="D129" s="34" t="s">
        <v>83</v>
      </c>
      <c r="E129" s="34" t="s">
        <v>83</v>
      </c>
      <c r="F129" s="34">
        <f t="shared" si="1"/>
        <v>5</v>
      </c>
      <c r="G129" s="34">
        <v>8497</v>
      </c>
      <c r="H129" s="34" t="s">
        <v>313</v>
      </c>
      <c r="I129" s="35"/>
      <c r="J129" s="35">
        <v>1.38</v>
      </c>
      <c r="K129" s="35">
        <v>-1.38</v>
      </c>
      <c r="L129" s="35">
        <v>-560.45000000000005</v>
      </c>
      <c r="M129" s="34" t="s">
        <v>779</v>
      </c>
    </row>
    <row r="130" spans="2:13" s="34" customFormat="1" ht="12.5" x14ac:dyDescent="0.25">
      <c r="B130" s="34">
        <v>201040217</v>
      </c>
      <c r="C130" s="34" t="s">
        <v>146</v>
      </c>
      <c r="D130" s="34" t="s">
        <v>129</v>
      </c>
      <c r="E130" s="34" t="s">
        <v>129</v>
      </c>
      <c r="F130" s="34">
        <f t="shared" si="1"/>
        <v>5</v>
      </c>
      <c r="G130" s="34">
        <v>8467</v>
      </c>
      <c r="H130" s="34" t="s">
        <v>314</v>
      </c>
      <c r="I130" s="35"/>
      <c r="J130" s="35">
        <v>125.95</v>
      </c>
      <c r="K130" s="35">
        <v>-125.95</v>
      </c>
      <c r="L130" s="35">
        <v>-686.4</v>
      </c>
      <c r="M130" s="34" t="s">
        <v>779</v>
      </c>
    </row>
    <row r="131" spans="2:13" s="34" customFormat="1" ht="12.5" x14ac:dyDescent="0.25">
      <c r="B131" s="34">
        <v>201040217</v>
      </c>
      <c r="C131" s="34" t="s">
        <v>146</v>
      </c>
      <c r="D131" s="34" t="s">
        <v>158</v>
      </c>
      <c r="E131" s="34" t="s">
        <v>129</v>
      </c>
      <c r="F131" s="34">
        <f t="shared" ref="F131:F194" si="2">MONTH(D131)</f>
        <v>6</v>
      </c>
      <c r="G131" s="34">
        <v>8501</v>
      </c>
      <c r="H131" s="34" t="s">
        <v>315</v>
      </c>
      <c r="I131" s="35"/>
      <c r="J131" s="35">
        <v>60.5</v>
      </c>
      <c r="K131" s="35">
        <v>-60.5</v>
      </c>
      <c r="L131" s="35">
        <v>-746.9</v>
      </c>
      <c r="M131" s="34" t="s">
        <v>779</v>
      </c>
    </row>
    <row r="132" spans="2:13" s="34" customFormat="1" ht="12.5" x14ac:dyDescent="0.25">
      <c r="B132" s="34">
        <v>201040217</v>
      </c>
      <c r="C132" s="34" t="s">
        <v>146</v>
      </c>
      <c r="D132" s="34" t="s">
        <v>90</v>
      </c>
      <c r="E132" s="34" t="s">
        <v>156</v>
      </c>
      <c r="F132" s="34">
        <f t="shared" si="2"/>
        <v>6</v>
      </c>
      <c r="G132" s="34">
        <v>8502</v>
      </c>
      <c r="H132" s="34" t="s">
        <v>316</v>
      </c>
      <c r="I132" s="35"/>
      <c r="J132" s="35">
        <v>2.75</v>
      </c>
      <c r="K132" s="35">
        <v>-2.75</v>
      </c>
      <c r="L132" s="35">
        <v>-749.65</v>
      </c>
      <c r="M132" s="34" t="s">
        <v>779</v>
      </c>
    </row>
    <row r="133" spans="2:13" s="34" customFormat="1" ht="12.5" x14ac:dyDescent="0.25">
      <c r="B133" s="34">
        <v>201040217</v>
      </c>
      <c r="C133" s="34" t="s">
        <v>146</v>
      </c>
      <c r="D133" s="34" t="s">
        <v>85</v>
      </c>
      <c r="E133" s="34" t="s">
        <v>85</v>
      </c>
      <c r="F133" s="34">
        <f t="shared" si="2"/>
        <v>5</v>
      </c>
      <c r="G133" s="34">
        <v>8613</v>
      </c>
      <c r="H133" s="34" t="s">
        <v>317</v>
      </c>
      <c r="I133" s="35"/>
      <c r="J133" s="35">
        <v>3.3</v>
      </c>
      <c r="K133" s="35">
        <v>-3.3</v>
      </c>
      <c r="L133" s="35">
        <v>-752.95</v>
      </c>
      <c r="M133" s="34" t="s">
        <v>779</v>
      </c>
    </row>
    <row r="134" spans="2:13" s="34" customFormat="1" ht="12.5" x14ac:dyDescent="0.25">
      <c r="B134" s="34">
        <v>201040217</v>
      </c>
      <c r="C134" s="34" t="s">
        <v>146</v>
      </c>
      <c r="D134" s="34" t="s">
        <v>91</v>
      </c>
      <c r="E134" s="34" t="s">
        <v>86</v>
      </c>
      <c r="F134" s="34">
        <f t="shared" si="2"/>
        <v>6</v>
      </c>
      <c r="G134" s="34">
        <v>8610</v>
      </c>
      <c r="H134" s="34" t="s">
        <v>318</v>
      </c>
      <c r="I134" s="35"/>
      <c r="J134" s="35">
        <v>11.94</v>
      </c>
      <c r="K134" s="35">
        <v>-11.94</v>
      </c>
      <c r="L134" s="35">
        <v>-764.89</v>
      </c>
      <c r="M134" s="34" t="s">
        <v>779</v>
      </c>
    </row>
    <row r="135" spans="2:13" s="34" customFormat="1" ht="12.5" x14ac:dyDescent="0.25">
      <c r="B135" s="34">
        <v>201040217</v>
      </c>
      <c r="C135" s="34" t="s">
        <v>146</v>
      </c>
      <c r="D135" s="34" t="s">
        <v>86</v>
      </c>
      <c r="E135" s="34" t="s">
        <v>86</v>
      </c>
      <c r="F135" s="34">
        <f t="shared" si="2"/>
        <v>5</v>
      </c>
      <c r="G135" s="34">
        <v>8611</v>
      </c>
      <c r="H135" s="34" t="s">
        <v>319</v>
      </c>
      <c r="I135" s="35"/>
      <c r="J135" s="35">
        <v>1.65</v>
      </c>
      <c r="K135" s="35">
        <v>-1.65</v>
      </c>
      <c r="L135" s="35">
        <v>-766.54</v>
      </c>
      <c r="M135" s="34" t="s">
        <v>779</v>
      </c>
    </row>
    <row r="136" spans="2:13" s="34" customFormat="1" ht="12.5" x14ac:dyDescent="0.25">
      <c r="B136" s="34">
        <v>201040217</v>
      </c>
      <c r="C136" s="34" t="s">
        <v>146</v>
      </c>
      <c r="D136" s="34" t="s">
        <v>86</v>
      </c>
      <c r="E136" s="34" t="s">
        <v>86</v>
      </c>
      <c r="F136" s="34">
        <f t="shared" si="2"/>
        <v>5</v>
      </c>
      <c r="G136" s="34">
        <v>8661</v>
      </c>
      <c r="H136" s="34" t="s">
        <v>187</v>
      </c>
      <c r="I136" s="35">
        <v>206.44</v>
      </c>
      <c r="J136" s="35"/>
      <c r="K136" s="35">
        <v>206.44</v>
      </c>
      <c r="L136" s="35">
        <v>-560.1</v>
      </c>
      <c r="M136" s="34" t="s">
        <v>782</v>
      </c>
    </row>
    <row r="137" spans="2:13" s="34" customFormat="1" ht="12.5" x14ac:dyDescent="0.25">
      <c r="B137" s="34">
        <v>201040217</v>
      </c>
      <c r="C137" s="34" t="s">
        <v>146</v>
      </c>
      <c r="D137" s="34" t="s">
        <v>87</v>
      </c>
      <c r="E137" s="34" t="s">
        <v>87</v>
      </c>
      <c r="F137" s="34">
        <f t="shared" si="2"/>
        <v>5</v>
      </c>
      <c r="G137" s="34">
        <v>8612</v>
      </c>
      <c r="H137" s="34" t="s">
        <v>320</v>
      </c>
      <c r="I137" s="35"/>
      <c r="J137" s="35">
        <v>1.65</v>
      </c>
      <c r="K137" s="35">
        <v>-1.65</v>
      </c>
      <c r="L137" s="35">
        <v>-561.75</v>
      </c>
      <c r="M137" s="34" t="s">
        <v>779</v>
      </c>
    </row>
    <row r="138" spans="2:13" s="34" customFormat="1" ht="12.5" x14ac:dyDescent="0.25">
      <c r="B138" s="34">
        <v>201040217</v>
      </c>
      <c r="C138" s="34" t="s">
        <v>146</v>
      </c>
      <c r="D138" s="34" t="s">
        <v>87</v>
      </c>
      <c r="E138" s="34" t="s">
        <v>87</v>
      </c>
      <c r="F138" s="34">
        <f t="shared" si="2"/>
        <v>5</v>
      </c>
      <c r="G138" s="34">
        <v>8615</v>
      </c>
      <c r="H138" s="34" t="s">
        <v>321</v>
      </c>
      <c r="I138" s="35"/>
      <c r="J138" s="35">
        <v>8.25</v>
      </c>
      <c r="K138" s="35">
        <v>-8.25</v>
      </c>
      <c r="L138" s="35">
        <v>-570</v>
      </c>
      <c r="M138" s="34" t="s">
        <v>779</v>
      </c>
    </row>
    <row r="139" spans="2:13" s="34" customFormat="1" ht="12.5" x14ac:dyDescent="0.25">
      <c r="B139" s="34">
        <v>201040217</v>
      </c>
      <c r="C139" s="34" t="s">
        <v>146</v>
      </c>
      <c r="D139" s="34" t="s">
        <v>130</v>
      </c>
      <c r="E139" s="34" t="s">
        <v>130</v>
      </c>
      <c r="F139" s="34">
        <f t="shared" si="2"/>
        <v>5</v>
      </c>
      <c r="G139" s="34">
        <v>8614</v>
      </c>
      <c r="H139" s="34" t="s">
        <v>322</v>
      </c>
      <c r="I139" s="35"/>
      <c r="J139" s="35">
        <v>3.3</v>
      </c>
      <c r="K139" s="35">
        <v>-3.3</v>
      </c>
      <c r="L139" s="35">
        <v>-573.29999999999995</v>
      </c>
      <c r="M139" s="34" t="s">
        <v>779</v>
      </c>
    </row>
    <row r="140" spans="2:13" s="34" customFormat="1" ht="12.5" x14ac:dyDescent="0.25">
      <c r="B140" s="34">
        <v>201040217</v>
      </c>
      <c r="C140" s="34" t="s">
        <v>146</v>
      </c>
      <c r="D140" s="34" t="s">
        <v>157</v>
      </c>
      <c r="E140" s="34" t="s">
        <v>157</v>
      </c>
      <c r="F140" s="34">
        <f t="shared" si="2"/>
        <v>5</v>
      </c>
      <c r="G140" s="34">
        <v>8678</v>
      </c>
      <c r="H140" s="34" t="s">
        <v>323</v>
      </c>
      <c r="I140" s="35"/>
      <c r="J140" s="35">
        <v>28.88</v>
      </c>
      <c r="K140" s="35">
        <v>-28.88</v>
      </c>
      <c r="L140" s="35">
        <v>-602.17999999999995</v>
      </c>
      <c r="M140" s="34" t="s">
        <v>779</v>
      </c>
    </row>
    <row r="141" spans="2:13" s="34" customFormat="1" ht="12.5" x14ac:dyDescent="0.25">
      <c r="B141" s="34">
        <v>201040217</v>
      </c>
      <c r="C141" s="34" t="s">
        <v>146</v>
      </c>
      <c r="D141" s="34" t="s">
        <v>112</v>
      </c>
      <c r="E141" s="34" t="s">
        <v>112</v>
      </c>
      <c r="F141" s="34">
        <f t="shared" si="2"/>
        <v>6</v>
      </c>
      <c r="G141" s="34">
        <v>8689</v>
      </c>
      <c r="H141" s="34" t="s">
        <v>324</v>
      </c>
      <c r="I141" s="35"/>
      <c r="J141" s="35">
        <v>1.69</v>
      </c>
      <c r="K141" s="35">
        <v>-1.69</v>
      </c>
      <c r="L141" s="35">
        <v>-603.87</v>
      </c>
      <c r="M141" s="34" t="s">
        <v>779</v>
      </c>
    </row>
    <row r="142" spans="2:13" s="34" customFormat="1" ht="12.5" x14ac:dyDescent="0.25">
      <c r="B142" s="34">
        <v>201040217</v>
      </c>
      <c r="C142" s="34" t="s">
        <v>146</v>
      </c>
      <c r="D142" s="34" t="s">
        <v>112</v>
      </c>
      <c r="E142" s="34" t="s">
        <v>112</v>
      </c>
      <c r="F142" s="34">
        <f t="shared" si="2"/>
        <v>6</v>
      </c>
      <c r="G142" s="34">
        <v>8690</v>
      </c>
      <c r="H142" s="34" t="s">
        <v>325</v>
      </c>
      <c r="I142" s="35"/>
      <c r="J142" s="35">
        <v>1.65</v>
      </c>
      <c r="K142" s="35">
        <v>-1.65</v>
      </c>
      <c r="L142" s="35">
        <v>-605.52</v>
      </c>
      <c r="M142" s="34" t="s">
        <v>779</v>
      </c>
    </row>
    <row r="143" spans="2:13" s="34" customFormat="1" ht="12.5" x14ac:dyDescent="0.25">
      <c r="B143" s="34">
        <v>201040217</v>
      </c>
      <c r="C143" s="34" t="s">
        <v>146</v>
      </c>
      <c r="D143" s="34" t="s">
        <v>112</v>
      </c>
      <c r="E143" s="34" t="s">
        <v>112</v>
      </c>
      <c r="F143" s="34">
        <f t="shared" si="2"/>
        <v>6</v>
      </c>
      <c r="G143" s="34">
        <v>8691</v>
      </c>
      <c r="H143" s="34" t="s">
        <v>326</v>
      </c>
      <c r="I143" s="35"/>
      <c r="J143" s="35">
        <v>1.69</v>
      </c>
      <c r="K143" s="35">
        <v>-1.69</v>
      </c>
      <c r="L143" s="35">
        <v>-607.21</v>
      </c>
      <c r="M143" s="34" t="s">
        <v>779</v>
      </c>
    </row>
    <row r="144" spans="2:13" s="34" customFormat="1" ht="12.5" x14ac:dyDescent="0.25">
      <c r="B144" s="34">
        <v>201040217</v>
      </c>
      <c r="C144" s="34" t="s">
        <v>146</v>
      </c>
      <c r="D144" s="34" t="s">
        <v>112</v>
      </c>
      <c r="E144" s="34" t="s">
        <v>112</v>
      </c>
      <c r="F144" s="34">
        <f t="shared" si="2"/>
        <v>6</v>
      </c>
      <c r="G144" s="34">
        <v>8753</v>
      </c>
      <c r="H144" s="34" t="s">
        <v>327</v>
      </c>
      <c r="I144" s="35"/>
      <c r="J144" s="35">
        <v>70.13</v>
      </c>
      <c r="K144" s="35">
        <v>-70.13</v>
      </c>
      <c r="L144" s="35">
        <v>-677.34</v>
      </c>
      <c r="M144" s="34" t="s">
        <v>779</v>
      </c>
    </row>
    <row r="145" spans="2:13" s="34" customFormat="1" ht="12.5" x14ac:dyDescent="0.25">
      <c r="B145" s="34">
        <v>201040217</v>
      </c>
      <c r="C145" s="34" t="s">
        <v>146</v>
      </c>
      <c r="D145" s="34" t="s">
        <v>131</v>
      </c>
      <c r="E145" s="34" t="s">
        <v>131</v>
      </c>
      <c r="F145" s="34">
        <f t="shared" si="2"/>
        <v>6</v>
      </c>
      <c r="G145" s="34">
        <v>8685</v>
      </c>
      <c r="H145" s="34" t="s">
        <v>328</v>
      </c>
      <c r="I145" s="35"/>
      <c r="J145" s="35">
        <v>19.829999999999998</v>
      </c>
      <c r="K145" s="35">
        <v>-19.829999999999998</v>
      </c>
      <c r="L145" s="35">
        <v>-697.17</v>
      </c>
      <c r="M145" s="34" t="s">
        <v>779</v>
      </c>
    </row>
    <row r="146" spans="2:13" s="34" customFormat="1" ht="12.5" x14ac:dyDescent="0.25">
      <c r="B146" s="34">
        <v>201040217</v>
      </c>
      <c r="C146" s="34" t="s">
        <v>146</v>
      </c>
      <c r="D146" s="34" t="s">
        <v>131</v>
      </c>
      <c r="E146" s="34" t="s">
        <v>131</v>
      </c>
      <c r="F146" s="34">
        <f t="shared" si="2"/>
        <v>6</v>
      </c>
      <c r="G146" s="34">
        <v>8754</v>
      </c>
      <c r="H146" s="34" t="s">
        <v>329</v>
      </c>
      <c r="I146" s="35"/>
      <c r="J146" s="35">
        <v>13.22</v>
      </c>
      <c r="K146" s="35">
        <v>-13.22</v>
      </c>
      <c r="L146" s="35">
        <v>-710.39</v>
      </c>
      <c r="M146" s="34" t="s">
        <v>779</v>
      </c>
    </row>
    <row r="147" spans="2:13" s="34" customFormat="1" ht="12.5" x14ac:dyDescent="0.25">
      <c r="B147" s="34">
        <v>201040217</v>
      </c>
      <c r="C147" s="34" t="s">
        <v>146</v>
      </c>
      <c r="D147" s="34" t="s">
        <v>158</v>
      </c>
      <c r="E147" s="34" t="s">
        <v>158</v>
      </c>
      <c r="F147" s="34">
        <f t="shared" si="2"/>
        <v>6</v>
      </c>
      <c r="G147" s="34">
        <v>8686</v>
      </c>
      <c r="H147" s="34" t="s">
        <v>330</v>
      </c>
      <c r="I147" s="35"/>
      <c r="J147" s="35">
        <v>2.06</v>
      </c>
      <c r="K147" s="35">
        <v>-2.06</v>
      </c>
      <c r="L147" s="35">
        <v>-712.45</v>
      </c>
      <c r="M147" s="34" t="s">
        <v>779</v>
      </c>
    </row>
    <row r="148" spans="2:13" s="34" customFormat="1" ht="12.5" x14ac:dyDescent="0.25">
      <c r="B148" s="34">
        <v>201040217</v>
      </c>
      <c r="C148" s="34" t="s">
        <v>146</v>
      </c>
      <c r="D148" s="34" t="s">
        <v>331</v>
      </c>
      <c r="E148" s="34" t="s">
        <v>158</v>
      </c>
      <c r="F148" s="34">
        <f t="shared" si="2"/>
        <v>7</v>
      </c>
      <c r="G148" s="34">
        <v>8687</v>
      </c>
      <c r="H148" s="34" t="s">
        <v>332</v>
      </c>
      <c r="I148" s="35"/>
      <c r="J148" s="35">
        <v>60.5</v>
      </c>
      <c r="K148" s="35">
        <v>-60.5</v>
      </c>
      <c r="L148" s="35">
        <v>-772.95</v>
      </c>
      <c r="M148" s="34" t="s">
        <v>779</v>
      </c>
    </row>
    <row r="149" spans="2:13" s="34" customFormat="1" ht="12.5" x14ac:dyDescent="0.25">
      <c r="B149" s="34">
        <v>201040217</v>
      </c>
      <c r="C149" s="34" t="s">
        <v>146</v>
      </c>
      <c r="D149" s="34" t="s">
        <v>333</v>
      </c>
      <c r="E149" s="34" t="s">
        <v>333</v>
      </c>
      <c r="F149" s="34">
        <f t="shared" si="2"/>
        <v>6</v>
      </c>
      <c r="G149" s="34">
        <v>8700</v>
      </c>
      <c r="H149" s="34" t="s">
        <v>334</v>
      </c>
      <c r="I149" s="35"/>
      <c r="J149" s="35">
        <v>1.1000000000000001</v>
      </c>
      <c r="K149" s="35">
        <v>-1.1000000000000001</v>
      </c>
      <c r="L149" s="35">
        <v>-774.05</v>
      </c>
      <c r="M149" s="34" t="s">
        <v>779</v>
      </c>
    </row>
    <row r="150" spans="2:13" s="34" customFormat="1" ht="12.5" x14ac:dyDescent="0.25">
      <c r="B150" s="34">
        <v>201040217</v>
      </c>
      <c r="C150" s="34" t="s">
        <v>146</v>
      </c>
      <c r="D150" s="34" t="s">
        <v>113</v>
      </c>
      <c r="E150" s="34" t="s">
        <v>114</v>
      </c>
      <c r="F150" s="34">
        <f t="shared" si="2"/>
        <v>7</v>
      </c>
      <c r="G150" s="34">
        <v>8751</v>
      </c>
      <c r="H150" s="34" t="s">
        <v>335</v>
      </c>
      <c r="I150" s="35"/>
      <c r="J150" s="35">
        <v>12.35</v>
      </c>
      <c r="K150" s="35">
        <v>-12.35</v>
      </c>
      <c r="L150" s="35">
        <v>-786.4</v>
      </c>
      <c r="M150" s="34" t="s">
        <v>779</v>
      </c>
    </row>
    <row r="151" spans="2:13" s="34" customFormat="1" ht="12.5" x14ac:dyDescent="0.25">
      <c r="B151" s="34">
        <v>201040217</v>
      </c>
      <c r="C151" s="34" t="s">
        <v>146</v>
      </c>
      <c r="D151" s="34" t="s">
        <v>230</v>
      </c>
      <c r="E151" s="34" t="s">
        <v>230</v>
      </c>
      <c r="F151" s="34">
        <f t="shared" si="2"/>
        <v>6</v>
      </c>
      <c r="G151" s="34">
        <v>8886</v>
      </c>
      <c r="H151" s="34" t="s">
        <v>231</v>
      </c>
      <c r="I151" s="35">
        <v>602.16</v>
      </c>
      <c r="J151" s="35"/>
      <c r="K151" s="35">
        <v>602.16</v>
      </c>
      <c r="L151" s="35">
        <v>-184.24</v>
      </c>
      <c r="M151" s="34" t="s">
        <v>782</v>
      </c>
    </row>
    <row r="152" spans="2:13" s="34" customFormat="1" ht="12.5" x14ac:dyDescent="0.25">
      <c r="B152" s="34">
        <v>201040217</v>
      </c>
      <c r="C152" s="34" t="s">
        <v>146</v>
      </c>
      <c r="D152" s="34" t="s">
        <v>93</v>
      </c>
      <c r="E152" s="34" t="s">
        <v>93</v>
      </c>
      <c r="F152" s="34">
        <f t="shared" si="2"/>
        <v>6</v>
      </c>
      <c r="G152" s="34">
        <v>8773</v>
      </c>
      <c r="H152" s="34" t="s">
        <v>336</v>
      </c>
      <c r="I152" s="35"/>
      <c r="J152" s="35">
        <v>44.28</v>
      </c>
      <c r="K152" s="35">
        <v>-44.28</v>
      </c>
      <c r="L152" s="35">
        <v>-228.52</v>
      </c>
      <c r="M152" s="34" t="s">
        <v>779</v>
      </c>
    </row>
    <row r="153" spans="2:13" s="34" customFormat="1" ht="12.5" x14ac:dyDescent="0.25">
      <c r="B153" s="34">
        <v>201040217</v>
      </c>
      <c r="C153" s="34" t="s">
        <v>146</v>
      </c>
      <c r="D153" s="34" t="s">
        <v>94</v>
      </c>
      <c r="E153" s="34" t="s">
        <v>94</v>
      </c>
      <c r="F153" s="34">
        <f t="shared" si="2"/>
        <v>7</v>
      </c>
      <c r="G153" s="34">
        <v>8794</v>
      </c>
      <c r="H153" s="34" t="s">
        <v>337</v>
      </c>
      <c r="I153" s="35"/>
      <c r="J153" s="35">
        <v>2.06</v>
      </c>
      <c r="K153" s="35">
        <v>-2.06</v>
      </c>
      <c r="L153" s="35">
        <v>-230.58</v>
      </c>
      <c r="M153" s="34" t="s">
        <v>779</v>
      </c>
    </row>
    <row r="154" spans="2:13" s="34" customFormat="1" ht="12.5" x14ac:dyDescent="0.25">
      <c r="B154" s="34">
        <v>201040217</v>
      </c>
      <c r="C154" s="34" t="s">
        <v>146</v>
      </c>
      <c r="D154" s="34" t="s">
        <v>94</v>
      </c>
      <c r="E154" s="34" t="s">
        <v>94</v>
      </c>
      <c r="F154" s="34">
        <f t="shared" si="2"/>
        <v>7</v>
      </c>
      <c r="G154" s="34">
        <v>8816</v>
      </c>
      <c r="H154" s="34" t="s">
        <v>338</v>
      </c>
      <c r="I154" s="35"/>
      <c r="J154" s="35">
        <v>17.18</v>
      </c>
      <c r="K154" s="35">
        <v>-17.18</v>
      </c>
      <c r="L154" s="35">
        <v>-247.76</v>
      </c>
      <c r="M154" s="34" t="s">
        <v>779</v>
      </c>
    </row>
    <row r="155" spans="2:13" s="34" customFormat="1" ht="12.5" x14ac:dyDescent="0.25">
      <c r="B155" s="34">
        <v>201040217</v>
      </c>
      <c r="C155" s="34" t="s">
        <v>146</v>
      </c>
      <c r="D155" s="34" t="s">
        <v>94</v>
      </c>
      <c r="E155" s="34" t="s">
        <v>94</v>
      </c>
      <c r="F155" s="34">
        <f t="shared" si="2"/>
        <v>7</v>
      </c>
      <c r="G155" s="34">
        <v>8817</v>
      </c>
      <c r="H155" s="34" t="s">
        <v>339</v>
      </c>
      <c r="I155" s="35"/>
      <c r="J155" s="35">
        <v>1.65</v>
      </c>
      <c r="K155" s="35">
        <v>-1.65</v>
      </c>
      <c r="L155" s="35">
        <v>-249.41</v>
      </c>
      <c r="M155" s="34" t="s">
        <v>779</v>
      </c>
    </row>
    <row r="156" spans="2:13" s="34" customFormat="1" ht="12.5" x14ac:dyDescent="0.25">
      <c r="B156" s="34">
        <v>201040217</v>
      </c>
      <c r="C156" s="34" t="s">
        <v>146</v>
      </c>
      <c r="D156" s="34" t="s">
        <v>94</v>
      </c>
      <c r="E156" s="34" t="s">
        <v>94</v>
      </c>
      <c r="F156" s="34">
        <f t="shared" si="2"/>
        <v>7</v>
      </c>
      <c r="G156" s="34">
        <v>8818</v>
      </c>
      <c r="H156" s="34" t="s">
        <v>340</v>
      </c>
      <c r="I156" s="35"/>
      <c r="J156" s="35">
        <v>47.16</v>
      </c>
      <c r="K156" s="35">
        <v>-47.16</v>
      </c>
      <c r="L156" s="35">
        <v>-296.57</v>
      </c>
      <c r="M156" s="34" t="s">
        <v>779</v>
      </c>
    </row>
    <row r="157" spans="2:13" s="34" customFormat="1" ht="12.5" x14ac:dyDescent="0.25">
      <c r="B157" s="34">
        <v>201040217</v>
      </c>
      <c r="C157" s="34" t="s">
        <v>146</v>
      </c>
      <c r="D157" s="34" t="s">
        <v>94</v>
      </c>
      <c r="E157" s="34" t="s">
        <v>94</v>
      </c>
      <c r="F157" s="34">
        <f t="shared" si="2"/>
        <v>7</v>
      </c>
      <c r="G157" s="34">
        <v>8819</v>
      </c>
      <c r="H157" s="34" t="s">
        <v>341</v>
      </c>
      <c r="I157" s="35"/>
      <c r="J157" s="35">
        <v>25.66</v>
      </c>
      <c r="K157" s="35">
        <v>-25.66</v>
      </c>
      <c r="L157" s="35">
        <v>-322.23</v>
      </c>
      <c r="M157" s="34" t="s">
        <v>779</v>
      </c>
    </row>
    <row r="158" spans="2:13" s="34" customFormat="1" ht="12.5" x14ac:dyDescent="0.25">
      <c r="B158" s="34">
        <v>201040217</v>
      </c>
      <c r="C158" s="34" t="s">
        <v>146</v>
      </c>
      <c r="D158" s="34" t="s">
        <v>94</v>
      </c>
      <c r="E158" s="34" t="s">
        <v>94</v>
      </c>
      <c r="F158" s="34">
        <f t="shared" si="2"/>
        <v>7</v>
      </c>
      <c r="G158" s="34">
        <v>8820</v>
      </c>
      <c r="H158" s="34" t="s">
        <v>342</v>
      </c>
      <c r="I158" s="35"/>
      <c r="J158" s="35">
        <v>47.3</v>
      </c>
      <c r="K158" s="35">
        <v>-47.3</v>
      </c>
      <c r="L158" s="35">
        <v>-369.53</v>
      </c>
      <c r="M158" s="34" t="s">
        <v>779</v>
      </c>
    </row>
    <row r="159" spans="2:13" s="34" customFormat="1" ht="12.5" x14ac:dyDescent="0.25">
      <c r="B159" s="34">
        <v>201040217</v>
      </c>
      <c r="C159" s="34" t="s">
        <v>146</v>
      </c>
      <c r="D159" s="34" t="s">
        <v>94</v>
      </c>
      <c r="E159" s="34" t="s">
        <v>94</v>
      </c>
      <c r="F159" s="34">
        <f t="shared" si="2"/>
        <v>7</v>
      </c>
      <c r="G159" s="34">
        <v>8821</v>
      </c>
      <c r="H159" s="34" t="s">
        <v>343</v>
      </c>
      <c r="I159" s="35"/>
      <c r="J159" s="35">
        <v>67.41</v>
      </c>
      <c r="K159" s="35">
        <v>-67.41</v>
      </c>
      <c r="L159" s="35">
        <v>-436.94</v>
      </c>
      <c r="M159" s="34" t="s">
        <v>779</v>
      </c>
    </row>
    <row r="160" spans="2:13" s="34" customFormat="1" ht="12.5" x14ac:dyDescent="0.25">
      <c r="B160" s="34">
        <v>201040217</v>
      </c>
      <c r="C160" s="34" t="s">
        <v>146</v>
      </c>
      <c r="D160" s="34" t="s">
        <v>94</v>
      </c>
      <c r="E160" s="34" t="s">
        <v>94</v>
      </c>
      <c r="F160" s="34">
        <f t="shared" si="2"/>
        <v>7</v>
      </c>
      <c r="G160" s="34">
        <v>8822</v>
      </c>
      <c r="H160" s="34" t="s">
        <v>344</v>
      </c>
      <c r="I160" s="35"/>
      <c r="J160" s="35">
        <v>14.82</v>
      </c>
      <c r="K160" s="35">
        <v>-14.82</v>
      </c>
      <c r="L160" s="35">
        <v>-451.76</v>
      </c>
      <c r="M160" s="34" t="s">
        <v>779</v>
      </c>
    </row>
    <row r="161" spans="2:13" s="34" customFormat="1" ht="12.5" x14ac:dyDescent="0.25">
      <c r="B161" s="34">
        <v>201040217</v>
      </c>
      <c r="C161" s="34" t="s">
        <v>146</v>
      </c>
      <c r="D161" s="34" t="s">
        <v>94</v>
      </c>
      <c r="E161" s="34" t="s">
        <v>94</v>
      </c>
      <c r="F161" s="34">
        <f t="shared" si="2"/>
        <v>7</v>
      </c>
      <c r="G161" s="34">
        <v>8823</v>
      </c>
      <c r="H161" s="34" t="s">
        <v>345</v>
      </c>
      <c r="I161" s="35"/>
      <c r="J161" s="35">
        <v>0.55000000000000004</v>
      </c>
      <c r="K161" s="35">
        <v>-0.55000000000000004</v>
      </c>
      <c r="L161" s="35">
        <v>-452.31</v>
      </c>
      <c r="M161" s="34" t="s">
        <v>779</v>
      </c>
    </row>
    <row r="162" spans="2:13" s="34" customFormat="1" ht="12.5" x14ac:dyDescent="0.25">
      <c r="B162" s="34">
        <v>201040217</v>
      </c>
      <c r="C162" s="34" t="s">
        <v>146</v>
      </c>
      <c r="D162" s="34" t="s">
        <v>94</v>
      </c>
      <c r="E162" s="34" t="s">
        <v>94</v>
      </c>
      <c r="F162" s="34">
        <f t="shared" si="2"/>
        <v>7</v>
      </c>
      <c r="G162" s="34">
        <v>8824</v>
      </c>
      <c r="H162" s="34" t="s">
        <v>346</v>
      </c>
      <c r="I162" s="35"/>
      <c r="J162" s="35">
        <v>10.62</v>
      </c>
      <c r="K162" s="35">
        <v>-10.62</v>
      </c>
      <c r="L162" s="35">
        <v>-462.93</v>
      </c>
      <c r="M162" s="34" t="s">
        <v>779</v>
      </c>
    </row>
    <row r="163" spans="2:13" s="34" customFormat="1" ht="12.5" x14ac:dyDescent="0.25">
      <c r="B163" s="34">
        <v>201040217</v>
      </c>
      <c r="C163" s="34" t="s">
        <v>146</v>
      </c>
      <c r="D163" s="34" t="s">
        <v>94</v>
      </c>
      <c r="E163" s="34" t="s">
        <v>94</v>
      </c>
      <c r="F163" s="34">
        <f t="shared" si="2"/>
        <v>7</v>
      </c>
      <c r="G163" s="34">
        <v>8825</v>
      </c>
      <c r="H163" s="34" t="s">
        <v>347</v>
      </c>
      <c r="I163" s="35"/>
      <c r="J163" s="35">
        <v>15.63</v>
      </c>
      <c r="K163" s="35">
        <v>-15.63</v>
      </c>
      <c r="L163" s="35">
        <v>-478.56</v>
      </c>
      <c r="M163" s="34" t="s">
        <v>779</v>
      </c>
    </row>
    <row r="164" spans="2:13" s="34" customFormat="1" ht="12.5" x14ac:dyDescent="0.25">
      <c r="B164" s="34">
        <v>201040217</v>
      </c>
      <c r="C164" s="34" t="s">
        <v>146</v>
      </c>
      <c r="D164" s="34" t="s">
        <v>94</v>
      </c>
      <c r="E164" s="34" t="s">
        <v>94</v>
      </c>
      <c r="F164" s="34">
        <f t="shared" si="2"/>
        <v>7</v>
      </c>
      <c r="G164" s="34">
        <v>8826</v>
      </c>
      <c r="H164" s="34" t="s">
        <v>348</v>
      </c>
      <c r="I164" s="35"/>
      <c r="J164" s="35">
        <v>5.2</v>
      </c>
      <c r="K164" s="35">
        <v>-5.2</v>
      </c>
      <c r="L164" s="35">
        <v>-483.76</v>
      </c>
      <c r="M164" s="34" t="s">
        <v>779</v>
      </c>
    </row>
    <row r="165" spans="2:13" s="34" customFormat="1" ht="12.5" x14ac:dyDescent="0.25">
      <c r="B165" s="34">
        <v>201040217</v>
      </c>
      <c r="C165" s="34" t="s">
        <v>146</v>
      </c>
      <c r="D165" s="34" t="s">
        <v>94</v>
      </c>
      <c r="E165" s="34" t="s">
        <v>94</v>
      </c>
      <c r="F165" s="34">
        <f t="shared" si="2"/>
        <v>7</v>
      </c>
      <c r="G165" s="34">
        <v>8827</v>
      </c>
      <c r="H165" s="34" t="s">
        <v>349</v>
      </c>
      <c r="I165" s="35"/>
      <c r="J165" s="35">
        <v>4.59</v>
      </c>
      <c r="K165" s="35">
        <v>-4.59</v>
      </c>
      <c r="L165" s="35">
        <v>-488.35</v>
      </c>
      <c r="M165" s="34" t="s">
        <v>779</v>
      </c>
    </row>
    <row r="166" spans="2:13" s="34" customFormat="1" ht="12.5" x14ac:dyDescent="0.25">
      <c r="B166" s="34">
        <v>201040217</v>
      </c>
      <c r="C166" s="34" t="s">
        <v>146</v>
      </c>
      <c r="D166" s="34" t="s">
        <v>94</v>
      </c>
      <c r="E166" s="34" t="s">
        <v>94</v>
      </c>
      <c r="F166" s="34">
        <f t="shared" si="2"/>
        <v>7</v>
      </c>
      <c r="G166" s="34">
        <v>8828</v>
      </c>
      <c r="H166" s="34" t="s">
        <v>350</v>
      </c>
      <c r="I166" s="35"/>
      <c r="J166" s="35">
        <v>4.95</v>
      </c>
      <c r="K166" s="35">
        <v>-4.95</v>
      </c>
      <c r="L166" s="35">
        <v>-493.3</v>
      </c>
      <c r="M166" s="34" t="s">
        <v>779</v>
      </c>
    </row>
    <row r="167" spans="2:13" s="34" customFormat="1" ht="12.5" x14ac:dyDescent="0.25">
      <c r="B167" s="34">
        <v>201040217</v>
      </c>
      <c r="C167" s="34" t="s">
        <v>146</v>
      </c>
      <c r="D167" s="34" t="s">
        <v>94</v>
      </c>
      <c r="E167" s="34" t="s">
        <v>94</v>
      </c>
      <c r="F167" s="34">
        <f t="shared" si="2"/>
        <v>7</v>
      </c>
      <c r="G167" s="34">
        <v>8829</v>
      </c>
      <c r="H167" s="34" t="s">
        <v>351</v>
      </c>
      <c r="I167" s="35"/>
      <c r="J167" s="35">
        <v>9.8800000000000008</v>
      </c>
      <c r="K167" s="35">
        <v>-9.8800000000000008</v>
      </c>
      <c r="L167" s="35">
        <v>-503.18</v>
      </c>
      <c r="M167" s="34" t="s">
        <v>779</v>
      </c>
    </row>
    <row r="168" spans="2:13" s="34" customFormat="1" ht="12.5" x14ac:dyDescent="0.25">
      <c r="B168" s="34">
        <v>201040217</v>
      </c>
      <c r="C168" s="34" t="s">
        <v>146</v>
      </c>
      <c r="D168" s="34" t="s">
        <v>94</v>
      </c>
      <c r="E168" s="34" t="s">
        <v>94</v>
      </c>
      <c r="F168" s="34">
        <f t="shared" si="2"/>
        <v>7</v>
      </c>
      <c r="G168" s="34">
        <v>8830</v>
      </c>
      <c r="H168" s="34" t="s">
        <v>352</v>
      </c>
      <c r="I168" s="35"/>
      <c r="J168" s="35">
        <v>10.32</v>
      </c>
      <c r="K168" s="35">
        <v>-10.32</v>
      </c>
      <c r="L168" s="35">
        <v>-513.5</v>
      </c>
      <c r="M168" s="34" t="s">
        <v>779</v>
      </c>
    </row>
    <row r="169" spans="2:13" s="34" customFormat="1" ht="12.5" x14ac:dyDescent="0.25">
      <c r="B169" s="34">
        <v>201040217</v>
      </c>
      <c r="C169" s="34" t="s">
        <v>146</v>
      </c>
      <c r="D169" s="34" t="s">
        <v>94</v>
      </c>
      <c r="E169" s="34" t="s">
        <v>94</v>
      </c>
      <c r="F169" s="34">
        <f t="shared" si="2"/>
        <v>7</v>
      </c>
      <c r="G169" s="34">
        <v>8831</v>
      </c>
      <c r="H169" s="34" t="s">
        <v>353</v>
      </c>
      <c r="I169" s="35"/>
      <c r="J169" s="35">
        <v>10.3</v>
      </c>
      <c r="K169" s="35">
        <v>-10.3</v>
      </c>
      <c r="L169" s="35">
        <v>-523.79999999999995</v>
      </c>
      <c r="M169" s="34" t="s">
        <v>779</v>
      </c>
    </row>
    <row r="170" spans="2:13" s="34" customFormat="1" ht="12.5" x14ac:dyDescent="0.25">
      <c r="B170" s="34">
        <v>201040217</v>
      </c>
      <c r="C170" s="34" t="s">
        <v>146</v>
      </c>
      <c r="D170" s="34" t="s">
        <v>94</v>
      </c>
      <c r="E170" s="34" t="s">
        <v>94</v>
      </c>
      <c r="F170" s="34">
        <f t="shared" si="2"/>
        <v>7</v>
      </c>
      <c r="G170" s="34">
        <v>8832</v>
      </c>
      <c r="H170" s="34" t="s">
        <v>354</v>
      </c>
      <c r="I170" s="35"/>
      <c r="J170" s="35">
        <v>5.78</v>
      </c>
      <c r="K170" s="35">
        <v>-5.78</v>
      </c>
      <c r="L170" s="35">
        <v>-529.58000000000004</v>
      </c>
      <c r="M170" s="34" t="s">
        <v>779</v>
      </c>
    </row>
    <row r="171" spans="2:13" s="34" customFormat="1" ht="12.5" x14ac:dyDescent="0.25">
      <c r="B171" s="34">
        <v>201040217</v>
      </c>
      <c r="C171" s="34" t="s">
        <v>146</v>
      </c>
      <c r="D171" s="34" t="s">
        <v>94</v>
      </c>
      <c r="E171" s="34" t="s">
        <v>94</v>
      </c>
      <c r="F171" s="34">
        <f t="shared" si="2"/>
        <v>7</v>
      </c>
      <c r="G171" s="34">
        <v>8833</v>
      </c>
      <c r="H171" s="34" t="s">
        <v>355</v>
      </c>
      <c r="I171" s="35"/>
      <c r="J171" s="35">
        <v>15.66</v>
      </c>
      <c r="K171" s="35">
        <v>-15.66</v>
      </c>
      <c r="L171" s="35">
        <v>-545.24</v>
      </c>
      <c r="M171" s="34" t="s">
        <v>779</v>
      </c>
    </row>
    <row r="172" spans="2:13" s="34" customFormat="1" ht="12.5" x14ac:dyDescent="0.25">
      <c r="B172" s="34">
        <v>201040217</v>
      </c>
      <c r="C172" s="34" t="s">
        <v>146</v>
      </c>
      <c r="D172" s="34" t="s">
        <v>94</v>
      </c>
      <c r="E172" s="34" t="s">
        <v>94</v>
      </c>
      <c r="F172" s="34">
        <f t="shared" si="2"/>
        <v>7</v>
      </c>
      <c r="G172" s="34">
        <v>8834</v>
      </c>
      <c r="H172" s="34" t="s">
        <v>356</v>
      </c>
      <c r="I172" s="35"/>
      <c r="J172" s="35">
        <v>3.85</v>
      </c>
      <c r="K172" s="35">
        <v>-3.85</v>
      </c>
      <c r="L172" s="35">
        <v>-549.09</v>
      </c>
      <c r="M172" s="34" t="s">
        <v>779</v>
      </c>
    </row>
    <row r="173" spans="2:13" s="34" customFormat="1" ht="12.5" x14ac:dyDescent="0.25">
      <c r="B173" s="34">
        <v>201040217</v>
      </c>
      <c r="C173" s="34" t="s">
        <v>146</v>
      </c>
      <c r="D173" s="34" t="s">
        <v>94</v>
      </c>
      <c r="E173" s="34" t="s">
        <v>94</v>
      </c>
      <c r="F173" s="34">
        <f t="shared" si="2"/>
        <v>7</v>
      </c>
      <c r="G173" s="34">
        <v>8835</v>
      </c>
      <c r="H173" s="34" t="s">
        <v>357</v>
      </c>
      <c r="I173" s="35"/>
      <c r="J173" s="35">
        <v>70.13</v>
      </c>
      <c r="K173" s="35">
        <v>-70.13</v>
      </c>
      <c r="L173" s="35">
        <v>-619.22</v>
      </c>
      <c r="M173" s="34" t="s">
        <v>779</v>
      </c>
    </row>
    <row r="174" spans="2:13" s="34" customFormat="1" ht="12.5" x14ac:dyDescent="0.25">
      <c r="B174" s="34">
        <v>201040217</v>
      </c>
      <c r="C174" s="34" t="s">
        <v>146</v>
      </c>
      <c r="D174" s="34" t="s">
        <v>94</v>
      </c>
      <c r="E174" s="34" t="s">
        <v>94</v>
      </c>
      <c r="F174" s="34">
        <f t="shared" si="2"/>
        <v>7</v>
      </c>
      <c r="G174" s="34">
        <v>9014</v>
      </c>
      <c r="H174" s="34" t="s">
        <v>311</v>
      </c>
      <c r="I174" s="35"/>
      <c r="J174" s="35">
        <v>-10.32</v>
      </c>
      <c r="K174" s="35">
        <v>10.32</v>
      </c>
      <c r="L174" s="35">
        <v>-608.9</v>
      </c>
      <c r="M174" s="34" t="s">
        <v>779</v>
      </c>
    </row>
    <row r="175" spans="2:13" s="34" customFormat="1" ht="12.5" x14ac:dyDescent="0.25">
      <c r="B175" s="34">
        <v>201040217</v>
      </c>
      <c r="C175" s="34" t="s">
        <v>146</v>
      </c>
      <c r="D175" s="34" t="s">
        <v>94</v>
      </c>
      <c r="E175" s="34" t="s">
        <v>94</v>
      </c>
      <c r="F175" s="34">
        <f t="shared" si="2"/>
        <v>7</v>
      </c>
      <c r="G175" s="34">
        <v>9015</v>
      </c>
      <c r="H175" s="34" t="s">
        <v>311</v>
      </c>
      <c r="I175" s="35"/>
      <c r="J175" s="35">
        <v>-15.63</v>
      </c>
      <c r="K175" s="35">
        <v>15.63</v>
      </c>
      <c r="L175" s="35">
        <v>-593.27</v>
      </c>
      <c r="M175" s="34" t="s">
        <v>779</v>
      </c>
    </row>
    <row r="176" spans="2:13" s="34" customFormat="1" ht="12.5" x14ac:dyDescent="0.25">
      <c r="B176" s="34">
        <v>201040217</v>
      </c>
      <c r="C176" s="34" t="s">
        <v>146</v>
      </c>
      <c r="D176" s="34" t="s">
        <v>94</v>
      </c>
      <c r="E176" s="34" t="s">
        <v>94</v>
      </c>
      <c r="F176" s="34">
        <f t="shared" si="2"/>
        <v>7</v>
      </c>
      <c r="G176" s="34">
        <v>9016</v>
      </c>
      <c r="H176" s="34" t="s">
        <v>311</v>
      </c>
      <c r="I176" s="35"/>
      <c r="J176" s="35">
        <v>-9.8800000000000008</v>
      </c>
      <c r="K176" s="35">
        <v>9.8800000000000008</v>
      </c>
      <c r="L176" s="35">
        <v>-583.39</v>
      </c>
      <c r="M176" s="34" t="s">
        <v>779</v>
      </c>
    </row>
    <row r="177" spans="2:13" s="34" customFormat="1" ht="12.5" x14ac:dyDescent="0.25">
      <c r="B177" s="34">
        <v>201040217</v>
      </c>
      <c r="C177" s="34" t="s">
        <v>146</v>
      </c>
      <c r="D177" s="34" t="s">
        <v>94</v>
      </c>
      <c r="E177" s="34" t="s">
        <v>94</v>
      </c>
      <c r="F177" s="34">
        <f t="shared" si="2"/>
        <v>7</v>
      </c>
      <c r="G177" s="34">
        <v>9017</v>
      </c>
      <c r="H177" s="34" t="s">
        <v>351</v>
      </c>
      <c r="I177" s="35"/>
      <c r="J177" s="35">
        <v>9.8800000000000008</v>
      </c>
      <c r="K177" s="35">
        <v>-9.8800000000000008</v>
      </c>
      <c r="L177" s="35">
        <v>-593.27</v>
      </c>
      <c r="M177" s="34" t="s">
        <v>779</v>
      </c>
    </row>
    <row r="178" spans="2:13" s="34" customFormat="1" ht="12.5" x14ac:dyDescent="0.25">
      <c r="B178" s="34">
        <v>201040217</v>
      </c>
      <c r="C178" s="34" t="s">
        <v>146</v>
      </c>
      <c r="D178" s="34" t="s">
        <v>94</v>
      </c>
      <c r="E178" s="34" t="s">
        <v>94</v>
      </c>
      <c r="F178" s="34">
        <f t="shared" si="2"/>
        <v>7</v>
      </c>
      <c r="G178" s="34">
        <v>9018</v>
      </c>
      <c r="H178" s="34" t="s">
        <v>352</v>
      </c>
      <c r="I178" s="35"/>
      <c r="J178" s="35">
        <v>10.32</v>
      </c>
      <c r="K178" s="35">
        <v>-10.32</v>
      </c>
      <c r="L178" s="35">
        <v>-603.59</v>
      </c>
      <c r="M178" s="34" t="s">
        <v>779</v>
      </c>
    </row>
    <row r="179" spans="2:13" s="34" customFormat="1" ht="12.5" x14ac:dyDescent="0.25">
      <c r="B179" s="34">
        <v>201040217</v>
      </c>
      <c r="C179" s="34" t="s">
        <v>146</v>
      </c>
      <c r="D179" s="34" t="s">
        <v>94</v>
      </c>
      <c r="E179" s="34" t="s">
        <v>94</v>
      </c>
      <c r="F179" s="34">
        <f t="shared" si="2"/>
        <v>7</v>
      </c>
      <c r="G179" s="34">
        <v>9019</v>
      </c>
      <c r="H179" s="34" t="s">
        <v>347</v>
      </c>
      <c r="I179" s="35"/>
      <c r="J179" s="35">
        <v>15.63</v>
      </c>
      <c r="K179" s="35">
        <v>-15.63</v>
      </c>
      <c r="L179" s="35">
        <v>-619.22</v>
      </c>
      <c r="M179" s="34" t="s">
        <v>779</v>
      </c>
    </row>
    <row r="180" spans="2:13" s="34" customFormat="1" ht="12.5" x14ac:dyDescent="0.25">
      <c r="B180" s="34">
        <v>201040217</v>
      </c>
      <c r="C180" s="34" t="s">
        <v>146</v>
      </c>
      <c r="D180" s="34" t="s">
        <v>94</v>
      </c>
      <c r="E180" s="34" t="s">
        <v>94</v>
      </c>
      <c r="F180" s="34">
        <f t="shared" si="2"/>
        <v>7</v>
      </c>
      <c r="G180" s="34">
        <v>9020</v>
      </c>
      <c r="H180" s="34" t="s">
        <v>311</v>
      </c>
      <c r="I180" s="35"/>
      <c r="J180" s="35">
        <v>-15.63</v>
      </c>
      <c r="K180" s="35">
        <v>15.63</v>
      </c>
      <c r="L180" s="35">
        <v>-603.59</v>
      </c>
      <c r="M180" s="34" t="s">
        <v>779</v>
      </c>
    </row>
    <row r="181" spans="2:13" s="34" customFormat="1" ht="12.5" x14ac:dyDescent="0.25">
      <c r="B181" s="34">
        <v>201040217</v>
      </c>
      <c r="C181" s="34" t="s">
        <v>146</v>
      </c>
      <c r="D181" s="34" t="s">
        <v>94</v>
      </c>
      <c r="E181" s="34" t="s">
        <v>94</v>
      </c>
      <c r="F181" s="34">
        <f t="shared" si="2"/>
        <v>7</v>
      </c>
      <c r="G181" s="34">
        <v>9021</v>
      </c>
      <c r="H181" s="34" t="s">
        <v>347</v>
      </c>
      <c r="I181" s="35"/>
      <c r="J181" s="35">
        <v>15.63</v>
      </c>
      <c r="K181" s="35">
        <v>-15.63</v>
      </c>
      <c r="L181" s="35">
        <v>-619.22</v>
      </c>
      <c r="M181" s="34" t="s">
        <v>779</v>
      </c>
    </row>
    <row r="182" spans="2:13" s="34" customFormat="1" ht="12.5" x14ac:dyDescent="0.25">
      <c r="B182" s="34">
        <v>201040217</v>
      </c>
      <c r="C182" s="34" t="s">
        <v>146</v>
      </c>
      <c r="D182" s="34" t="s">
        <v>94</v>
      </c>
      <c r="E182" s="34" t="s">
        <v>94</v>
      </c>
      <c r="F182" s="34">
        <f t="shared" si="2"/>
        <v>7</v>
      </c>
      <c r="G182" s="34">
        <v>9022</v>
      </c>
      <c r="H182" s="34" t="s">
        <v>311</v>
      </c>
      <c r="I182" s="35"/>
      <c r="J182" s="35">
        <v>-9.8800000000000008</v>
      </c>
      <c r="K182" s="35">
        <v>9.8800000000000008</v>
      </c>
      <c r="L182" s="35">
        <v>-609.34</v>
      </c>
      <c r="M182" s="34" t="s">
        <v>779</v>
      </c>
    </row>
    <row r="183" spans="2:13" s="34" customFormat="1" ht="12.5" x14ac:dyDescent="0.25">
      <c r="B183" s="34">
        <v>201040217</v>
      </c>
      <c r="C183" s="34" t="s">
        <v>146</v>
      </c>
      <c r="D183" s="34" t="s">
        <v>94</v>
      </c>
      <c r="E183" s="34" t="s">
        <v>94</v>
      </c>
      <c r="F183" s="34">
        <f t="shared" si="2"/>
        <v>7</v>
      </c>
      <c r="G183" s="34">
        <v>9023</v>
      </c>
      <c r="H183" s="34" t="s">
        <v>351</v>
      </c>
      <c r="I183" s="35"/>
      <c r="J183" s="35">
        <v>9.8800000000000008</v>
      </c>
      <c r="K183" s="35">
        <v>-9.8800000000000008</v>
      </c>
      <c r="L183" s="35">
        <v>-619.22</v>
      </c>
      <c r="M183" s="34" t="s">
        <v>779</v>
      </c>
    </row>
    <row r="184" spans="2:13" s="34" customFormat="1" ht="12.5" x14ac:dyDescent="0.25">
      <c r="B184" s="34">
        <v>201040217</v>
      </c>
      <c r="C184" s="34" t="s">
        <v>146</v>
      </c>
      <c r="D184" s="34" t="s">
        <v>94</v>
      </c>
      <c r="E184" s="34" t="s">
        <v>94</v>
      </c>
      <c r="F184" s="34">
        <f t="shared" si="2"/>
        <v>7</v>
      </c>
      <c r="G184" s="34">
        <v>9024</v>
      </c>
      <c r="H184" s="34" t="s">
        <v>311</v>
      </c>
      <c r="I184" s="35"/>
      <c r="J184" s="35">
        <v>-10.32</v>
      </c>
      <c r="K184" s="35">
        <v>10.32</v>
      </c>
      <c r="L184" s="35">
        <v>-608.9</v>
      </c>
      <c r="M184" s="34" t="s">
        <v>779</v>
      </c>
    </row>
    <row r="185" spans="2:13" s="34" customFormat="1" ht="12.5" x14ac:dyDescent="0.25">
      <c r="B185" s="34">
        <v>201040217</v>
      </c>
      <c r="C185" s="34" t="s">
        <v>146</v>
      </c>
      <c r="D185" s="34" t="s">
        <v>94</v>
      </c>
      <c r="E185" s="34" t="s">
        <v>94</v>
      </c>
      <c r="F185" s="34">
        <f t="shared" si="2"/>
        <v>7</v>
      </c>
      <c r="G185" s="34">
        <v>9025</v>
      </c>
      <c r="H185" s="34" t="s">
        <v>352</v>
      </c>
      <c r="I185" s="35"/>
      <c r="J185" s="35">
        <v>10.32</v>
      </c>
      <c r="K185" s="35">
        <v>-10.32</v>
      </c>
      <c r="L185" s="35">
        <v>-619.22</v>
      </c>
      <c r="M185" s="34" t="s">
        <v>779</v>
      </c>
    </row>
    <row r="186" spans="2:13" s="34" customFormat="1" ht="12.5" x14ac:dyDescent="0.25">
      <c r="B186" s="34">
        <v>201040217</v>
      </c>
      <c r="C186" s="34" t="s">
        <v>146</v>
      </c>
      <c r="D186" s="34" t="s">
        <v>358</v>
      </c>
      <c r="E186" s="34" t="s">
        <v>160</v>
      </c>
      <c r="F186" s="34">
        <f t="shared" si="2"/>
        <v>8</v>
      </c>
      <c r="G186" s="34">
        <v>8815</v>
      </c>
      <c r="H186" s="34" t="s">
        <v>359</v>
      </c>
      <c r="I186" s="35"/>
      <c r="J186" s="35">
        <v>60.5</v>
      </c>
      <c r="K186" s="35">
        <v>-60.5</v>
      </c>
      <c r="L186" s="35">
        <v>-679.72</v>
      </c>
      <c r="M186" s="34" t="s">
        <v>779</v>
      </c>
    </row>
    <row r="187" spans="2:13" s="34" customFormat="1" ht="12.5" x14ac:dyDescent="0.25">
      <c r="B187" s="34">
        <v>201040217</v>
      </c>
      <c r="C187" s="34" t="s">
        <v>146</v>
      </c>
      <c r="D187" s="34" t="s">
        <v>331</v>
      </c>
      <c r="E187" s="34" t="s">
        <v>331</v>
      </c>
      <c r="F187" s="34">
        <f t="shared" si="2"/>
        <v>7</v>
      </c>
      <c r="G187" s="34">
        <v>8968</v>
      </c>
      <c r="H187" s="34" t="s">
        <v>360</v>
      </c>
      <c r="I187" s="35"/>
      <c r="J187" s="35">
        <v>4</v>
      </c>
      <c r="K187" s="35">
        <v>-4</v>
      </c>
      <c r="L187" s="35">
        <v>-683.72</v>
      </c>
      <c r="M187" s="34" t="s">
        <v>779</v>
      </c>
    </row>
    <row r="188" spans="2:13" s="34" customFormat="1" ht="12.5" x14ac:dyDescent="0.25">
      <c r="B188" s="34">
        <v>201040217</v>
      </c>
      <c r="C188" s="34" t="s">
        <v>146</v>
      </c>
      <c r="D188" s="34" t="s">
        <v>361</v>
      </c>
      <c r="E188" s="34" t="s">
        <v>361</v>
      </c>
      <c r="F188" s="34">
        <f t="shared" si="2"/>
        <v>7</v>
      </c>
      <c r="G188" s="34">
        <v>8868</v>
      </c>
      <c r="H188" s="34" t="s">
        <v>362</v>
      </c>
      <c r="I188" s="35"/>
      <c r="J188" s="35">
        <v>3.3</v>
      </c>
      <c r="K188" s="35">
        <v>-3.3</v>
      </c>
      <c r="L188" s="35">
        <v>-687.02</v>
      </c>
      <c r="M188" s="34" t="s">
        <v>779</v>
      </c>
    </row>
    <row r="189" spans="2:13" s="34" customFormat="1" ht="12.5" x14ac:dyDescent="0.25">
      <c r="B189" s="34">
        <v>201040217</v>
      </c>
      <c r="C189" s="34" t="s">
        <v>146</v>
      </c>
      <c r="D189" s="34" t="s">
        <v>134</v>
      </c>
      <c r="E189" s="34" t="s">
        <v>363</v>
      </c>
      <c r="F189" s="34">
        <f t="shared" si="2"/>
        <v>7</v>
      </c>
      <c r="G189" s="34">
        <v>8806</v>
      </c>
      <c r="H189" s="34" t="s">
        <v>364</v>
      </c>
      <c r="I189" s="35"/>
      <c r="J189" s="35">
        <v>8.25</v>
      </c>
      <c r="K189" s="35">
        <v>-8.25</v>
      </c>
      <c r="L189" s="35">
        <v>-695.27</v>
      </c>
      <c r="M189" s="34" t="s">
        <v>779</v>
      </c>
    </row>
    <row r="190" spans="2:13" s="34" customFormat="1" ht="12.5" x14ac:dyDescent="0.25">
      <c r="B190" s="34">
        <v>201040217</v>
      </c>
      <c r="C190" s="34" t="s">
        <v>146</v>
      </c>
      <c r="D190" s="34" t="s">
        <v>121</v>
      </c>
      <c r="E190" s="34" t="s">
        <v>134</v>
      </c>
      <c r="F190" s="34">
        <f t="shared" si="2"/>
        <v>8</v>
      </c>
      <c r="G190" s="34">
        <v>8804</v>
      </c>
      <c r="H190" s="34" t="s">
        <v>365</v>
      </c>
      <c r="I190" s="35"/>
      <c r="J190" s="35">
        <v>12.9</v>
      </c>
      <c r="K190" s="35">
        <v>-12.9</v>
      </c>
      <c r="L190" s="35">
        <v>-708.17</v>
      </c>
      <c r="M190" s="34" t="s">
        <v>779</v>
      </c>
    </row>
    <row r="191" spans="2:13" s="34" customFormat="1" ht="12.5" x14ac:dyDescent="0.25">
      <c r="B191" s="34">
        <v>201040217</v>
      </c>
      <c r="C191" s="34" t="s">
        <v>146</v>
      </c>
      <c r="D191" s="34" t="s">
        <v>95</v>
      </c>
      <c r="E191" s="34" t="s">
        <v>95</v>
      </c>
      <c r="F191" s="34">
        <f t="shared" si="2"/>
        <v>7</v>
      </c>
      <c r="G191" s="34">
        <v>8956</v>
      </c>
      <c r="H191" s="34" t="s">
        <v>234</v>
      </c>
      <c r="I191" s="35">
        <v>32</v>
      </c>
      <c r="J191" s="35"/>
      <c r="K191" s="35">
        <v>32</v>
      </c>
      <c r="L191" s="35">
        <v>-676.17</v>
      </c>
      <c r="M191" s="34" t="s">
        <v>781</v>
      </c>
    </row>
    <row r="192" spans="2:13" s="34" customFormat="1" ht="12.5" x14ac:dyDescent="0.25">
      <c r="B192" s="34">
        <v>201040217</v>
      </c>
      <c r="C192" s="34" t="s">
        <v>146</v>
      </c>
      <c r="D192" s="34" t="s">
        <v>95</v>
      </c>
      <c r="E192" s="34" t="s">
        <v>95</v>
      </c>
      <c r="F192" s="34">
        <f t="shared" si="2"/>
        <v>7</v>
      </c>
      <c r="G192" s="34">
        <v>8986</v>
      </c>
      <c r="H192" s="34" t="s">
        <v>235</v>
      </c>
      <c r="I192" s="35">
        <v>-32</v>
      </c>
      <c r="J192" s="35"/>
      <c r="K192" s="35">
        <v>-32</v>
      </c>
      <c r="L192" s="35">
        <v>-708.17</v>
      </c>
      <c r="M192" s="34" t="s">
        <v>781</v>
      </c>
    </row>
    <row r="193" spans="2:13" s="34" customFormat="1" ht="12.5" x14ac:dyDescent="0.25">
      <c r="B193" s="34">
        <v>201040217</v>
      </c>
      <c r="C193" s="34" t="s">
        <v>146</v>
      </c>
      <c r="D193" s="34" t="s">
        <v>95</v>
      </c>
      <c r="E193" s="34" t="s">
        <v>95</v>
      </c>
      <c r="F193" s="34">
        <f t="shared" si="2"/>
        <v>7</v>
      </c>
      <c r="G193" s="34">
        <v>8987</v>
      </c>
      <c r="H193" s="34" t="s">
        <v>234</v>
      </c>
      <c r="I193" s="35">
        <v>228.52</v>
      </c>
      <c r="J193" s="35"/>
      <c r="K193" s="35">
        <v>228.52</v>
      </c>
      <c r="L193" s="35">
        <v>-479.65</v>
      </c>
      <c r="M193" s="34" t="s">
        <v>782</v>
      </c>
    </row>
    <row r="194" spans="2:13" s="34" customFormat="1" ht="12.5" x14ac:dyDescent="0.25">
      <c r="B194" s="34">
        <v>201040217</v>
      </c>
      <c r="C194" s="34" t="s">
        <v>146</v>
      </c>
      <c r="D194" s="34" t="s">
        <v>366</v>
      </c>
      <c r="E194" s="34" t="s">
        <v>366</v>
      </c>
      <c r="F194" s="34">
        <f t="shared" si="2"/>
        <v>7</v>
      </c>
      <c r="G194" s="34">
        <v>8836</v>
      </c>
      <c r="H194" s="34" t="s">
        <v>367</v>
      </c>
      <c r="I194" s="35"/>
      <c r="J194" s="35">
        <v>75.63</v>
      </c>
      <c r="K194" s="35">
        <v>-75.63</v>
      </c>
      <c r="L194" s="35">
        <v>-555.28</v>
      </c>
      <c r="M194" s="34" t="s">
        <v>779</v>
      </c>
    </row>
    <row r="195" spans="2:13" s="34" customFormat="1" ht="12.5" x14ac:dyDescent="0.25">
      <c r="B195" s="34">
        <v>201040217</v>
      </c>
      <c r="C195" s="34" t="s">
        <v>146</v>
      </c>
      <c r="D195" s="34" t="s">
        <v>366</v>
      </c>
      <c r="E195" s="34" t="s">
        <v>366</v>
      </c>
      <c r="F195" s="34">
        <f t="shared" ref="F195:F258" si="3">MONTH(D195)</f>
        <v>7</v>
      </c>
      <c r="G195" s="34">
        <v>8837</v>
      </c>
      <c r="H195" s="34" t="s">
        <v>368</v>
      </c>
      <c r="I195" s="35"/>
      <c r="J195" s="35">
        <v>0.98</v>
      </c>
      <c r="K195" s="35">
        <v>-0.98</v>
      </c>
      <c r="L195" s="35">
        <v>-556.26</v>
      </c>
      <c r="M195" s="34" t="s">
        <v>779</v>
      </c>
    </row>
    <row r="196" spans="2:13" s="34" customFormat="1" ht="12.5" x14ac:dyDescent="0.25">
      <c r="B196" s="34">
        <v>201040217</v>
      </c>
      <c r="C196" s="34" t="s">
        <v>146</v>
      </c>
      <c r="D196" s="34" t="s">
        <v>366</v>
      </c>
      <c r="E196" s="34" t="s">
        <v>366</v>
      </c>
      <c r="F196" s="34">
        <f t="shared" si="3"/>
        <v>7</v>
      </c>
      <c r="G196" s="34">
        <v>8838</v>
      </c>
      <c r="H196" s="34" t="s">
        <v>369</v>
      </c>
      <c r="I196" s="35"/>
      <c r="J196" s="35">
        <v>15.37</v>
      </c>
      <c r="K196" s="35">
        <v>-15.37</v>
      </c>
      <c r="L196" s="35">
        <v>-571.63</v>
      </c>
      <c r="M196" s="34" t="s">
        <v>779</v>
      </c>
    </row>
    <row r="197" spans="2:13" s="34" customFormat="1" ht="12.5" x14ac:dyDescent="0.25">
      <c r="B197" s="34">
        <v>201040217</v>
      </c>
      <c r="C197" s="34" t="s">
        <v>146</v>
      </c>
      <c r="D197" s="34" t="s">
        <v>366</v>
      </c>
      <c r="E197" s="34" t="s">
        <v>366</v>
      </c>
      <c r="F197" s="34">
        <f t="shared" si="3"/>
        <v>7</v>
      </c>
      <c r="G197" s="34">
        <v>8839</v>
      </c>
      <c r="H197" s="34" t="s">
        <v>370</v>
      </c>
      <c r="I197" s="35"/>
      <c r="J197" s="35">
        <v>6.88</v>
      </c>
      <c r="K197" s="35">
        <v>-6.88</v>
      </c>
      <c r="L197" s="35">
        <v>-578.51</v>
      </c>
      <c r="M197" s="34" t="s">
        <v>779</v>
      </c>
    </row>
    <row r="198" spans="2:13" s="34" customFormat="1" ht="12.5" x14ac:dyDescent="0.25">
      <c r="B198" s="34">
        <v>201040217</v>
      </c>
      <c r="C198" s="34" t="s">
        <v>146</v>
      </c>
      <c r="D198" s="34" t="s">
        <v>366</v>
      </c>
      <c r="E198" s="34" t="s">
        <v>366</v>
      </c>
      <c r="F198" s="34">
        <f t="shared" si="3"/>
        <v>7</v>
      </c>
      <c r="G198" s="34">
        <v>8840</v>
      </c>
      <c r="H198" s="34" t="s">
        <v>371</v>
      </c>
      <c r="I198" s="35"/>
      <c r="J198" s="35">
        <v>5.46</v>
      </c>
      <c r="K198" s="35">
        <v>-5.46</v>
      </c>
      <c r="L198" s="35">
        <v>-583.97</v>
      </c>
      <c r="M198" s="34" t="s">
        <v>779</v>
      </c>
    </row>
    <row r="199" spans="2:13" s="34" customFormat="1" ht="12.5" x14ac:dyDescent="0.25">
      <c r="B199" s="34">
        <v>201040217</v>
      </c>
      <c r="C199" s="34" t="s">
        <v>146</v>
      </c>
      <c r="D199" s="34" t="s">
        <v>366</v>
      </c>
      <c r="E199" s="34" t="s">
        <v>366</v>
      </c>
      <c r="F199" s="34">
        <f t="shared" si="3"/>
        <v>7</v>
      </c>
      <c r="G199" s="34">
        <v>8841</v>
      </c>
      <c r="H199" s="34" t="s">
        <v>372</v>
      </c>
      <c r="I199" s="35"/>
      <c r="J199" s="35">
        <v>19.8</v>
      </c>
      <c r="K199" s="35">
        <v>-19.8</v>
      </c>
      <c r="L199" s="35">
        <v>-603.77</v>
      </c>
      <c r="M199" s="34" t="s">
        <v>779</v>
      </c>
    </row>
    <row r="200" spans="2:13" s="34" customFormat="1" ht="12.5" x14ac:dyDescent="0.25">
      <c r="B200" s="34">
        <v>201040217</v>
      </c>
      <c r="C200" s="34" t="s">
        <v>146</v>
      </c>
      <c r="D200" s="34" t="s">
        <v>366</v>
      </c>
      <c r="E200" s="34" t="s">
        <v>366</v>
      </c>
      <c r="F200" s="34">
        <f t="shared" si="3"/>
        <v>7</v>
      </c>
      <c r="G200" s="34">
        <v>8842</v>
      </c>
      <c r="H200" s="34" t="s">
        <v>373</v>
      </c>
      <c r="I200" s="35"/>
      <c r="J200" s="35">
        <v>13.2</v>
      </c>
      <c r="K200" s="35">
        <v>-13.2</v>
      </c>
      <c r="L200" s="35">
        <v>-616.97</v>
      </c>
      <c r="M200" s="34" t="s">
        <v>779</v>
      </c>
    </row>
    <row r="201" spans="2:13" s="34" customFormat="1" ht="12.5" x14ac:dyDescent="0.25">
      <c r="B201" s="34">
        <v>201040217</v>
      </c>
      <c r="C201" s="34" t="s">
        <v>146</v>
      </c>
      <c r="D201" s="34" t="s">
        <v>366</v>
      </c>
      <c r="E201" s="34" t="s">
        <v>366</v>
      </c>
      <c r="F201" s="34">
        <f t="shared" si="3"/>
        <v>7</v>
      </c>
      <c r="G201" s="34">
        <v>8843</v>
      </c>
      <c r="H201" s="34" t="s">
        <v>374</v>
      </c>
      <c r="I201" s="35"/>
      <c r="J201" s="35">
        <v>10.18</v>
      </c>
      <c r="K201" s="35">
        <v>-10.18</v>
      </c>
      <c r="L201" s="35">
        <v>-627.15</v>
      </c>
      <c r="M201" s="34" t="s">
        <v>779</v>
      </c>
    </row>
    <row r="202" spans="2:13" s="34" customFormat="1" ht="12.5" x14ac:dyDescent="0.25">
      <c r="B202" s="34">
        <v>201040217</v>
      </c>
      <c r="C202" s="34" t="s">
        <v>146</v>
      </c>
      <c r="D202" s="34" t="s">
        <v>366</v>
      </c>
      <c r="E202" s="34" t="s">
        <v>366</v>
      </c>
      <c r="F202" s="34">
        <f t="shared" si="3"/>
        <v>7</v>
      </c>
      <c r="G202" s="34">
        <v>8844</v>
      </c>
      <c r="H202" s="34" t="s">
        <v>375</v>
      </c>
      <c r="I202" s="35"/>
      <c r="J202" s="35">
        <v>21.17</v>
      </c>
      <c r="K202" s="35">
        <v>-21.17</v>
      </c>
      <c r="L202" s="35">
        <v>-648.32000000000005</v>
      </c>
      <c r="M202" s="34" t="s">
        <v>779</v>
      </c>
    </row>
    <row r="203" spans="2:13" s="34" customFormat="1" ht="12.5" x14ac:dyDescent="0.25">
      <c r="B203" s="34">
        <v>201040217</v>
      </c>
      <c r="C203" s="34" t="s">
        <v>146</v>
      </c>
      <c r="D203" s="34" t="s">
        <v>366</v>
      </c>
      <c r="E203" s="34" t="s">
        <v>366</v>
      </c>
      <c r="F203" s="34">
        <f t="shared" si="3"/>
        <v>7</v>
      </c>
      <c r="G203" s="34">
        <v>8845</v>
      </c>
      <c r="H203" s="34" t="s">
        <v>376</v>
      </c>
      <c r="I203" s="35"/>
      <c r="J203" s="35">
        <v>15.79</v>
      </c>
      <c r="K203" s="35">
        <v>-15.79</v>
      </c>
      <c r="L203" s="35">
        <v>-664.11</v>
      </c>
      <c r="M203" s="34" t="s">
        <v>779</v>
      </c>
    </row>
    <row r="204" spans="2:13" s="34" customFormat="1" ht="12.5" x14ac:dyDescent="0.25">
      <c r="B204" s="34">
        <v>201040217</v>
      </c>
      <c r="C204" s="34" t="s">
        <v>146</v>
      </c>
      <c r="D204" s="34" t="s">
        <v>366</v>
      </c>
      <c r="E204" s="34" t="s">
        <v>366</v>
      </c>
      <c r="F204" s="34">
        <f t="shared" si="3"/>
        <v>7</v>
      </c>
      <c r="G204" s="34">
        <v>8974</v>
      </c>
      <c r="H204" s="34" t="s">
        <v>311</v>
      </c>
      <c r="I204" s="35"/>
      <c r="J204" s="35">
        <v>-15.79</v>
      </c>
      <c r="K204" s="35">
        <v>15.79</v>
      </c>
      <c r="L204" s="35">
        <v>-648.32000000000005</v>
      </c>
      <c r="M204" s="34" t="s">
        <v>779</v>
      </c>
    </row>
    <row r="205" spans="2:13" s="34" customFormat="1" ht="12.5" x14ac:dyDescent="0.25">
      <c r="B205" s="34">
        <v>201040217</v>
      </c>
      <c r="C205" s="34" t="s">
        <v>146</v>
      </c>
      <c r="D205" s="34" t="s">
        <v>136</v>
      </c>
      <c r="E205" s="34" t="s">
        <v>136</v>
      </c>
      <c r="F205" s="34">
        <f t="shared" si="3"/>
        <v>7</v>
      </c>
      <c r="G205" s="34">
        <v>8796</v>
      </c>
      <c r="H205" s="34" t="s">
        <v>377</v>
      </c>
      <c r="I205" s="35"/>
      <c r="J205" s="35">
        <v>15.65</v>
      </c>
      <c r="K205" s="35">
        <v>-15.65</v>
      </c>
      <c r="L205" s="35">
        <v>-663.97</v>
      </c>
      <c r="M205" s="34" t="s">
        <v>779</v>
      </c>
    </row>
    <row r="206" spans="2:13" s="34" customFormat="1" ht="12.5" x14ac:dyDescent="0.25">
      <c r="B206" s="34">
        <v>201040217</v>
      </c>
      <c r="C206" s="34" t="s">
        <v>146</v>
      </c>
      <c r="D206" s="34" t="s">
        <v>136</v>
      </c>
      <c r="E206" s="34" t="s">
        <v>136</v>
      </c>
      <c r="F206" s="34">
        <f t="shared" si="3"/>
        <v>7</v>
      </c>
      <c r="G206" s="34">
        <v>8797</v>
      </c>
      <c r="H206" s="34" t="s">
        <v>378</v>
      </c>
      <c r="I206" s="35"/>
      <c r="J206" s="35">
        <v>-15.65</v>
      </c>
      <c r="K206" s="35">
        <v>15.65</v>
      </c>
      <c r="L206" s="35">
        <v>-648.32000000000005</v>
      </c>
      <c r="M206" s="34" t="s">
        <v>779</v>
      </c>
    </row>
    <row r="207" spans="2:13" s="34" customFormat="1" ht="12.5" x14ac:dyDescent="0.25">
      <c r="B207" s="34">
        <v>201040217</v>
      </c>
      <c r="C207" s="34" t="s">
        <v>146</v>
      </c>
      <c r="D207" s="34" t="s">
        <v>118</v>
      </c>
      <c r="E207" s="34" t="s">
        <v>379</v>
      </c>
      <c r="F207" s="34">
        <f t="shared" si="3"/>
        <v>8</v>
      </c>
      <c r="G207" s="34">
        <v>8938</v>
      </c>
      <c r="H207" s="34" t="s">
        <v>380</v>
      </c>
      <c r="I207" s="35"/>
      <c r="J207" s="35">
        <v>36.58</v>
      </c>
      <c r="K207" s="35">
        <v>-36.58</v>
      </c>
      <c r="L207" s="35">
        <v>-684.9</v>
      </c>
      <c r="M207" s="34" t="s">
        <v>779</v>
      </c>
    </row>
    <row r="208" spans="2:13" s="34" customFormat="1" ht="12.5" x14ac:dyDescent="0.25">
      <c r="B208" s="34">
        <v>201040217</v>
      </c>
      <c r="C208" s="34" t="s">
        <v>146</v>
      </c>
      <c r="D208" s="34" t="s">
        <v>118</v>
      </c>
      <c r="E208" s="34" t="s">
        <v>118</v>
      </c>
      <c r="F208" s="34">
        <f t="shared" si="3"/>
        <v>8</v>
      </c>
      <c r="G208" s="34">
        <v>9012</v>
      </c>
      <c r="H208" s="34" t="s">
        <v>381</v>
      </c>
      <c r="I208" s="35"/>
      <c r="J208" s="35">
        <v>2.06</v>
      </c>
      <c r="K208" s="35">
        <v>-2.06</v>
      </c>
      <c r="L208" s="35">
        <v>-686.96</v>
      </c>
      <c r="M208" s="34" t="s">
        <v>779</v>
      </c>
    </row>
    <row r="209" spans="2:13" s="34" customFormat="1" ht="12.5" x14ac:dyDescent="0.25">
      <c r="B209" s="34">
        <v>201040217</v>
      </c>
      <c r="C209" s="34" t="s">
        <v>146</v>
      </c>
      <c r="D209" s="34" t="s">
        <v>118</v>
      </c>
      <c r="E209" s="34" t="s">
        <v>118</v>
      </c>
      <c r="F209" s="34">
        <f t="shared" si="3"/>
        <v>8</v>
      </c>
      <c r="G209" s="34">
        <v>9029</v>
      </c>
      <c r="H209" s="34" t="s">
        <v>382</v>
      </c>
      <c r="I209" s="35"/>
      <c r="J209" s="35">
        <v>16.41</v>
      </c>
      <c r="K209" s="35">
        <v>-16.41</v>
      </c>
      <c r="L209" s="35">
        <v>-703.37</v>
      </c>
      <c r="M209" s="34" t="s">
        <v>779</v>
      </c>
    </row>
    <row r="210" spans="2:13" s="34" customFormat="1" ht="12.5" x14ac:dyDescent="0.25">
      <c r="B210" s="34">
        <v>201040217</v>
      </c>
      <c r="C210" s="34" t="s">
        <v>146</v>
      </c>
      <c r="D210" s="34" t="s">
        <v>163</v>
      </c>
      <c r="E210" s="34" t="s">
        <v>383</v>
      </c>
      <c r="F210" s="34">
        <f t="shared" si="3"/>
        <v>9</v>
      </c>
      <c r="G210" s="34">
        <v>9011</v>
      </c>
      <c r="H210" s="34" t="s">
        <v>384</v>
      </c>
      <c r="I210" s="35"/>
      <c r="J210" s="35">
        <v>60.5</v>
      </c>
      <c r="K210" s="35">
        <v>-60.5</v>
      </c>
      <c r="L210" s="35">
        <v>-763.87</v>
      </c>
      <c r="M210" s="34" t="s">
        <v>779</v>
      </c>
    </row>
    <row r="211" spans="2:13" s="34" customFormat="1" ht="12.5" x14ac:dyDescent="0.25">
      <c r="B211" s="34">
        <v>201040217</v>
      </c>
      <c r="C211" s="34" t="s">
        <v>146</v>
      </c>
      <c r="D211" s="34" t="s">
        <v>383</v>
      </c>
      <c r="E211" s="34" t="s">
        <v>383</v>
      </c>
      <c r="F211" s="34">
        <f t="shared" si="3"/>
        <v>8</v>
      </c>
      <c r="G211" s="34">
        <v>9030</v>
      </c>
      <c r="H211" s="34" t="s">
        <v>385</v>
      </c>
      <c r="I211" s="35"/>
      <c r="J211" s="35">
        <v>2.12</v>
      </c>
      <c r="K211" s="35">
        <v>-2.12</v>
      </c>
      <c r="L211" s="35">
        <v>-765.99</v>
      </c>
      <c r="M211" s="34" t="s">
        <v>779</v>
      </c>
    </row>
    <row r="212" spans="2:13" s="34" customFormat="1" ht="12.5" x14ac:dyDescent="0.25">
      <c r="B212" s="34">
        <v>201040217</v>
      </c>
      <c r="C212" s="34" t="s">
        <v>146</v>
      </c>
      <c r="D212" s="34" t="s">
        <v>383</v>
      </c>
      <c r="E212" s="34" t="s">
        <v>383</v>
      </c>
      <c r="F212" s="34">
        <f t="shared" si="3"/>
        <v>8</v>
      </c>
      <c r="G212" s="34">
        <v>9031</v>
      </c>
      <c r="H212" s="34" t="s">
        <v>386</v>
      </c>
      <c r="I212" s="35"/>
      <c r="J212" s="35">
        <v>7.97</v>
      </c>
      <c r="K212" s="35">
        <v>-7.97</v>
      </c>
      <c r="L212" s="35">
        <v>-773.96</v>
      </c>
      <c r="M212" s="34" t="s">
        <v>779</v>
      </c>
    </row>
    <row r="213" spans="2:13" s="34" customFormat="1" ht="12.5" x14ac:dyDescent="0.25">
      <c r="B213" s="34">
        <v>201040217</v>
      </c>
      <c r="C213" s="34" t="s">
        <v>146</v>
      </c>
      <c r="D213" s="34" t="s">
        <v>162</v>
      </c>
      <c r="E213" s="34" t="s">
        <v>162</v>
      </c>
      <c r="F213" s="34">
        <f t="shared" si="3"/>
        <v>8</v>
      </c>
      <c r="G213" s="34">
        <v>9144</v>
      </c>
      <c r="H213" s="34" t="s">
        <v>387</v>
      </c>
      <c r="I213" s="35"/>
      <c r="J213" s="35">
        <v>4.13</v>
      </c>
      <c r="K213" s="35">
        <v>-4.13</v>
      </c>
      <c r="L213" s="35">
        <v>-778.09</v>
      </c>
      <c r="M213" s="34" t="s">
        <v>779</v>
      </c>
    </row>
    <row r="214" spans="2:13" s="34" customFormat="1" ht="12.5" x14ac:dyDescent="0.25">
      <c r="B214" s="34">
        <v>201040217</v>
      </c>
      <c r="C214" s="34" t="s">
        <v>146</v>
      </c>
      <c r="D214" s="34" t="s">
        <v>119</v>
      </c>
      <c r="E214" s="34" t="s">
        <v>119</v>
      </c>
      <c r="F214" s="34">
        <f t="shared" si="3"/>
        <v>8</v>
      </c>
      <c r="G214" s="34">
        <v>9101</v>
      </c>
      <c r="H214" s="34" t="s">
        <v>388</v>
      </c>
      <c r="I214" s="35"/>
      <c r="J214" s="35">
        <v>13.85</v>
      </c>
      <c r="K214" s="35">
        <v>-13.85</v>
      </c>
      <c r="L214" s="35">
        <v>-791.94</v>
      </c>
      <c r="M214" s="34" t="s">
        <v>779</v>
      </c>
    </row>
    <row r="215" spans="2:13" s="34" customFormat="1" ht="12.5" x14ac:dyDescent="0.25">
      <c r="B215" s="34">
        <v>201040217</v>
      </c>
      <c r="C215" s="34" t="s">
        <v>146</v>
      </c>
      <c r="D215" s="34" t="s">
        <v>164</v>
      </c>
      <c r="E215" s="34" t="s">
        <v>389</v>
      </c>
      <c r="F215" s="34">
        <f t="shared" si="3"/>
        <v>9</v>
      </c>
      <c r="G215" s="34">
        <v>9010</v>
      </c>
      <c r="H215" s="34" t="s">
        <v>390</v>
      </c>
      <c r="I215" s="35"/>
      <c r="J215" s="35">
        <v>17.16</v>
      </c>
      <c r="K215" s="35">
        <v>-17.16</v>
      </c>
      <c r="L215" s="35">
        <v>-809.1</v>
      </c>
      <c r="M215" s="34" t="s">
        <v>779</v>
      </c>
    </row>
    <row r="216" spans="2:13" s="34" customFormat="1" ht="12.5" x14ac:dyDescent="0.25">
      <c r="B216" s="34">
        <v>201040217</v>
      </c>
      <c r="C216" s="34" t="s">
        <v>146</v>
      </c>
      <c r="D216" s="34" t="s">
        <v>389</v>
      </c>
      <c r="E216" s="34" t="s">
        <v>389</v>
      </c>
      <c r="F216" s="34">
        <f t="shared" si="3"/>
        <v>8</v>
      </c>
      <c r="G216" s="34">
        <v>9028</v>
      </c>
      <c r="H216" s="34" t="s">
        <v>391</v>
      </c>
      <c r="I216" s="35"/>
      <c r="J216" s="35">
        <v>1.65</v>
      </c>
      <c r="K216" s="35">
        <v>-1.65</v>
      </c>
      <c r="L216" s="35">
        <v>-810.75</v>
      </c>
      <c r="M216" s="34" t="s">
        <v>779</v>
      </c>
    </row>
    <row r="217" spans="2:13" s="34" customFormat="1" ht="12.5" x14ac:dyDescent="0.25">
      <c r="B217" s="34">
        <v>201040217</v>
      </c>
      <c r="C217" s="34" t="s">
        <v>146</v>
      </c>
      <c r="D217" s="34" t="s">
        <v>96</v>
      </c>
      <c r="E217" s="34" t="s">
        <v>96</v>
      </c>
      <c r="F217" s="34">
        <f t="shared" si="3"/>
        <v>8</v>
      </c>
      <c r="G217" s="34">
        <v>9102</v>
      </c>
      <c r="H217" s="34" t="s">
        <v>392</v>
      </c>
      <c r="I217" s="35"/>
      <c r="J217" s="35">
        <v>1.69</v>
      </c>
      <c r="K217" s="35">
        <v>-1.69</v>
      </c>
      <c r="L217" s="35">
        <v>-812.44</v>
      </c>
      <c r="M217" s="34" t="s">
        <v>779</v>
      </c>
    </row>
    <row r="218" spans="2:13" s="34" customFormat="1" ht="12.5" x14ac:dyDescent="0.25">
      <c r="B218" s="34">
        <v>201040217</v>
      </c>
      <c r="C218" s="34" t="s">
        <v>146</v>
      </c>
      <c r="D218" s="34" t="s">
        <v>96</v>
      </c>
      <c r="E218" s="34" t="s">
        <v>96</v>
      </c>
      <c r="F218" s="34">
        <f t="shared" si="3"/>
        <v>8</v>
      </c>
      <c r="G218" s="34">
        <v>9103</v>
      </c>
      <c r="H218" s="34" t="s">
        <v>393</v>
      </c>
      <c r="I218" s="35"/>
      <c r="J218" s="35">
        <v>1.65</v>
      </c>
      <c r="K218" s="35">
        <v>-1.65</v>
      </c>
      <c r="L218" s="35">
        <v>-814.09</v>
      </c>
      <c r="M218" s="34" t="s">
        <v>779</v>
      </c>
    </row>
    <row r="219" spans="2:13" s="34" customFormat="1" ht="12.5" x14ac:dyDescent="0.25">
      <c r="B219" s="34">
        <v>201040217</v>
      </c>
      <c r="C219" s="34" t="s">
        <v>146</v>
      </c>
      <c r="D219" s="34" t="s">
        <v>96</v>
      </c>
      <c r="E219" s="34" t="s">
        <v>96</v>
      </c>
      <c r="F219" s="34">
        <f t="shared" si="3"/>
        <v>8</v>
      </c>
      <c r="G219" s="34">
        <v>9152</v>
      </c>
      <c r="H219" s="34" t="s">
        <v>192</v>
      </c>
      <c r="I219" s="35">
        <v>684.9</v>
      </c>
      <c r="J219" s="35"/>
      <c r="K219" s="35">
        <v>684.9</v>
      </c>
      <c r="L219" s="35">
        <v>-129.19</v>
      </c>
      <c r="M219" s="34" t="s">
        <v>782</v>
      </c>
    </row>
    <row r="220" spans="2:13" s="34" customFormat="1" ht="12.5" x14ac:dyDescent="0.25">
      <c r="B220" s="34">
        <v>201040217</v>
      </c>
      <c r="C220" s="34" t="s">
        <v>146</v>
      </c>
      <c r="D220" s="34" t="s">
        <v>193</v>
      </c>
      <c r="E220" s="34" t="s">
        <v>193</v>
      </c>
      <c r="F220" s="34">
        <f t="shared" si="3"/>
        <v>9</v>
      </c>
      <c r="G220" s="34">
        <v>9174</v>
      </c>
      <c r="H220" s="34" t="s">
        <v>394</v>
      </c>
      <c r="I220" s="35"/>
      <c r="J220" s="35">
        <v>2.06</v>
      </c>
      <c r="K220" s="35">
        <v>-2.06</v>
      </c>
      <c r="L220" s="35">
        <v>-131.25</v>
      </c>
      <c r="M220" s="34" t="s">
        <v>779</v>
      </c>
    </row>
    <row r="221" spans="2:13" s="34" customFormat="1" ht="12.5" x14ac:dyDescent="0.25">
      <c r="B221" s="34">
        <v>201040217</v>
      </c>
      <c r="C221" s="34" t="s">
        <v>146</v>
      </c>
      <c r="D221" s="34" t="s">
        <v>395</v>
      </c>
      <c r="E221" s="34" t="s">
        <v>163</v>
      </c>
      <c r="F221" s="34">
        <f t="shared" si="3"/>
        <v>10</v>
      </c>
      <c r="G221" s="34">
        <v>9175</v>
      </c>
      <c r="H221" s="34" t="s">
        <v>396</v>
      </c>
      <c r="I221" s="35"/>
      <c r="J221" s="35">
        <v>60.5</v>
      </c>
      <c r="K221" s="35">
        <v>-60.5</v>
      </c>
      <c r="L221" s="35">
        <v>-191.75</v>
      </c>
      <c r="M221" s="34" t="s">
        <v>779</v>
      </c>
    </row>
    <row r="222" spans="2:13" s="34" customFormat="1" ht="12.5" x14ac:dyDescent="0.25">
      <c r="B222" s="34">
        <v>201040217</v>
      </c>
      <c r="C222" s="34" t="s">
        <v>146</v>
      </c>
      <c r="D222" s="34" t="s">
        <v>397</v>
      </c>
      <c r="E222" s="34" t="s">
        <v>397</v>
      </c>
      <c r="F222" s="34">
        <f t="shared" si="3"/>
        <v>9</v>
      </c>
      <c r="G222" s="34">
        <v>9265</v>
      </c>
      <c r="H222" s="34" t="s">
        <v>398</v>
      </c>
      <c r="I222" s="35"/>
      <c r="J222" s="35">
        <v>8.17</v>
      </c>
      <c r="K222" s="35">
        <v>-8.17</v>
      </c>
      <c r="L222" s="35">
        <v>-199.92</v>
      </c>
      <c r="M222" s="34" t="s">
        <v>779</v>
      </c>
    </row>
    <row r="223" spans="2:13" s="34" customFormat="1" ht="12.5" x14ac:dyDescent="0.25">
      <c r="B223" s="34">
        <v>201040217</v>
      </c>
      <c r="C223" s="34" t="s">
        <v>146</v>
      </c>
      <c r="D223" s="34" t="s">
        <v>399</v>
      </c>
      <c r="E223" s="34" t="s">
        <v>399</v>
      </c>
      <c r="F223" s="34">
        <f t="shared" si="3"/>
        <v>9</v>
      </c>
      <c r="G223" s="34">
        <v>9179</v>
      </c>
      <c r="H223" s="34" t="s">
        <v>400</v>
      </c>
      <c r="I223" s="35"/>
      <c r="J223" s="35">
        <v>3.3</v>
      </c>
      <c r="K223" s="35">
        <v>-3.3</v>
      </c>
      <c r="L223" s="35">
        <v>-203.22</v>
      </c>
      <c r="M223" s="34" t="s">
        <v>779</v>
      </c>
    </row>
    <row r="224" spans="2:13" s="34" customFormat="1" ht="12.5" x14ac:dyDescent="0.25">
      <c r="B224" s="34">
        <v>201040217</v>
      </c>
      <c r="C224" s="34" t="s">
        <v>146</v>
      </c>
      <c r="D224" s="34" t="s">
        <v>401</v>
      </c>
      <c r="E224" s="34" t="s">
        <v>401</v>
      </c>
      <c r="F224" s="34">
        <f t="shared" si="3"/>
        <v>9</v>
      </c>
      <c r="G224" s="34">
        <v>9180</v>
      </c>
      <c r="H224" s="34" t="s">
        <v>402</v>
      </c>
      <c r="I224" s="35"/>
      <c r="J224" s="35">
        <v>4.95</v>
      </c>
      <c r="K224" s="35">
        <v>-4.95</v>
      </c>
      <c r="L224" s="35">
        <v>-208.17</v>
      </c>
      <c r="M224" s="34" t="s">
        <v>779</v>
      </c>
    </row>
    <row r="225" spans="2:13" s="34" customFormat="1" ht="12.5" x14ac:dyDescent="0.25">
      <c r="B225" s="34">
        <v>201040217</v>
      </c>
      <c r="C225" s="34" t="s">
        <v>146</v>
      </c>
      <c r="D225" s="34" t="s">
        <v>401</v>
      </c>
      <c r="E225" s="34" t="s">
        <v>401</v>
      </c>
      <c r="F225" s="34">
        <f t="shared" si="3"/>
        <v>9</v>
      </c>
      <c r="G225" s="34">
        <v>9181</v>
      </c>
      <c r="H225" s="34" t="s">
        <v>403</v>
      </c>
      <c r="I225" s="35"/>
      <c r="J225" s="35">
        <v>3.3</v>
      </c>
      <c r="K225" s="35">
        <v>-3.3</v>
      </c>
      <c r="L225" s="35">
        <v>-211.47</v>
      </c>
      <c r="M225" s="34" t="s">
        <v>779</v>
      </c>
    </row>
    <row r="226" spans="2:13" s="34" customFormat="1" ht="12.5" x14ac:dyDescent="0.25">
      <c r="B226" s="34">
        <v>201040217</v>
      </c>
      <c r="C226" s="34" t="s">
        <v>146</v>
      </c>
      <c r="D226" s="34" t="s">
        <v>401</v>
      </c>
      <c r="E226" s="34" t="s">
        <v>401</v>
      </c>
      <c r="F226" s="34">
        <f t="shared" si="3"/>
        <v>9</v>
      </c>
      <c r="G226" s="34">
        <v>9182</v>
      </c>
      <c r="H226" s="34" t="s">
        <v>404</v>
      </c>
      <c r="I226" s="35"/>
      <c r="J226" s="35">
        <v>3.3</v>
      </c>
      <c r="K226" s="35">
        <v>-3.3</v>
      </c>
      <c r="L226" s="35">
        <v>-214.77</v>
      </c>
      <c r="M226" s="34" t="s">
        <v>779</v>
      </c>
    </row>
    <row r="227" spans="2:13" s="34" customFormat="1" ht="12.5" x14ac:dyDescent="0.25">
      <c r="B227" s="34">
        <v>201040217</v>
      </c>
      <c r="C227" s="34" t="s">
        <v>146</v>
      </c>
      <c r="D227" s="34" t="s">
        <v>405</v>
      </c>
      <c r="E227" s="34" t="s">
        <v>405</v>
      </c>
      <c r="F227" s="34">
        <f t="shared" si="3"/>
        <v>9</v>
      </c>
      <c r="G227" s="34">
        <v>9260</v>
      </c>
      <c r="H227" s="34" t="s">
        <v>406</v>
      </c>
      <c r="I227" s="35"/>
      <c r="J227" s="35">
        <v>1.74</v>
      </c>
      <c r="K227" s="35">
        <v>-1.74</v>
      </c>
      <c r="L227" s="35">
        <v>-216.51</v>
      </c>
      <c r="M227" s="34" t="s">
        <v>779</v>
      </c>
    </row>
    <row r="228" spans="2:13" s="34" customFormat="1" ht="12.5" x14ac:dyDescent="0.25">
      <c r="B228" s="34">
        <v>201040217</v>
      </c>
      <c r="C228" s="34" t="s">
        <v>146</v>
      </c>
      <c r="D228" s="34" t="s">
        <v>123</v>
      </c>
      <c r="E228" s="34" t="s">
        <v>123</v>
      </c>
      <c r="F228" s="34">
        <f t="shared" si="3"/>
        <v>9</v>
      </c>
      <c r="G228" s="34">
        <v>9284</v>
      </c>
      <c r="H228" s="34" t="s">
        <v>195</v>
      </c>
      <c r="I228" s="35">
        <v>129.19</v>
      </c>
      <c r="J228" s="35"/>
      <c r="K228" s="35">
        <v>129.19</v>
      </c>
      <c r="L228" s="35">
        <v>-87.32</v>
      </c>
      <c r="M228" s="34" t="s">
        <v>782</v>
      </c>
    </row>
    <row r="229" spans="2:13" s="34" customFormat="1" ht="12.5" x14ac:dyDescent="0.25">
      <c r="B229" s="34">
        <v>201040217</v>
      </c>
      <c r="C229" s="34" t="s">
        <v>146</v>
      </c>
      <c r="D229" s="34" t="s">
        <v>140</v>
      </c>
      <c r="E229" s="34" t="s">
        <v>140</v>
      </c>
      <c r="F229" s="34">
        <f t="shared" si="3"/>
        <v>9</v>
      </c>
      <c r="G229" s="34">
        <v>9264</v>
      </c>
      <c r="H229" s="34" t="s">
        <v>407</v>
      </c>
      <c r="I229" s="35"/>
      <c r="J229" s="35">
        <v>8.0399999999999991</v>
      </c>
      <c r="K229" s="35">
        <v>-8.0399999999999991</v>
      </c>
      <c r="L229" s="35">
        <v>-95.36</v>
      </c>
      <c r="M229" s="34" t="s">
        <v>779</v>
      </c>
    </row>
    <row r="230" spans="2:13" s="34" customFormat="1" ht="12.5" x14ac:dyDescent="0.25">
      <c r="B230" s="34">
        <v>201040217</v>
      </c>
      <c r="C230" s="34" t="s">
        <v>146</v>
      </c>
      <c r="D230" s="34" t="s">
        <v>124</v>
      </c>
      <c r="E230" s="34" t="s">
        <v>141</v>
      </c>
      <c r="F230" s="34">
        <f t="shared" si="3"/>
        <v>10</v>
      </c>
      <c r="G230" s="34">
        <v>9271</v>
      </c>
      <c r="H230" s="34" t="s">
        <v>408</v>
      </c>
      <c r="I230" s="35"/>
      <c r="J230" s="35">
        <v>17.16</v>
      </c>
      <c r="K230" s="35">
        <v>-17.16</v>
      </c>
      <c r="L230" s="35">
        <v>-112.52</v>
      </c>
      <c r="M230" s="34" t="s">
        <v>779</v>
      </c>
    </row>
    <row r="231" spans="2:13" s="34" customFormat="1" ht="12.5" x14ac:dyDescent="0.25">
      <c r="B231" s="34">
        <v>201040217</v>
      </c>
      <c r="C231" s="34" t="s">
        <v>146</v>
      </c>
      <c r="D231" s="34" t="s">
        <v>165</v>
      </c>
      <c r="E231" s="34" t="s">
        <v>165</v>
      </c>
      <c r="F231" s="34">
        <f t="shared" si="3"/>
        <v>10</v>
      </c>
      <c r="G231" s="34">
        <v>9296</v>
      </c>
      <c r="H231" s="34" t="s">
        <v>409</v>
      </c>
      <c r="I231" s="35"/>
      <c r="J231" s="35">
        <v>2.06</v>
      </c>
      <c r="K231" s="35">
        <v>-2.06</v>
      </c>
      <c r="L231" s="35">
        <v>-114.58</v>
      </c>
      <c r="M231" s="34" t="s">
        <v>779</v>
      </c>
    </row>
    <row r="232" spans="2:13" s="34" customFormat="1" ht="12.5" x14ac:dyDescent="0.25">
      <c r="B232" s="34">
        <v>201040217</v>
      </c>
      <c r="C232" s="34" t="s">
        <v>146</v>
      </c>
      <c r="D232" s="34" t="s">
        <v>410</v>
      </c>
      <c r="E232" s="34" t="s">
        <v>395</v>
      </c>
      <c r="F232" s="34">
        <f t="shared" si="3"/>
        <v>11</v>
      </c>
      <c r="G232" s="34">
        <v>9372</v>
      </c>
      <c r="H232" s="34" t="s">
        <v>411</v>
      </c>
      <c r="I232" s="35"/>
      <c r="J232" s="35">
        <v>60.5</v>
      </c>
      <c r="K232" s="35">
        <v>-60.5</v>
      </c>
      <c r="L232" s="35">
        <v>-175.08</v>
      </c>
      <c r="M232" s="34" t="s">
        <v>779</v>
      </c>
    </row>
    <row r="233" spans="2:13" s="34" customFormat="1" ht="12.5" x14ac:dyDescent="0.25">
      <c r="B233" s="34">
        <v>201040217</v>
      </c>
      <c r="C233" s="34" t="s">
        <v>146</v>
      </c>
      <c r="D233" s="34" t="s">
        <v>126</v>
      </c>
      <c r="E233" s="34" t="s">
        <v>126</v>
      </c>
      <c r="F233" s="34">
        <f t="shared" si="3"/>
        <v>10</v>
      </c>
      <c r="G233" s="34">
        <v>9424</v>
      </c>
      <c r="H233" s="34" t="s">
        <v>197</v>
      </c>
      <c r="I233" s="35">
        <v>112.52</v>
      </c>
      <c r="J233" s="35"/>
      <c r="K233" s="35">
        <v>112.52</v>
      </c>
      <c r="L233" s="35">
        <v>-62.56</v>
      </c>
      <c r="M233" s="34" t="s">
        <v>782</v>
      </c>
    </row>
    <row r="234" spans="2:13" s="34" customFormat="1" ht="12.5" x14ac:dyDescent="0.25">
      <c r="B234" s="34">
        <v>201040217</v>
      </c>
      <c r="C234" s="34" t="s">
        <v>146</v>
      </c>
      <c r="D234" s="34" t="s">
        <v>412</v>
      </c>
      <c r="E234" s="34" t="s">
        <v>413</v>
      </c>
      <c r="F234" s="34">
        <f t="shared" si="3"/>
        <v>11</v>
      </c>
      <c r="G234" s="34">
        <v>9363</v>
      </c>
      <c r="H234" s="34" t="s">
        <v>414</v>
      </c>
      <c r="I234" s="35"/>
      <c r="J234" s="35">
        <v>17.16</v>
      </c>
      <c r="K234" s="35">
        <v>-17.16</v>
      </c>
      <c r="L234" s="35">
        <v>-79.72</v>
      </c>
      <c r="M234" s="34" t="s">
        <v>779</v>
      </c>
    </row>
    <row r="235" spans="2:13" s="34" customFormat="1" ht="12.5" x14ac:dyDescent="0.25">
      <c r="B235" s="34">
        <v>201040217</v>
      </c>
      <c r="C235" s="34" t="s">
        <v>146</v>
      </c>
      <c r="D235" s="34" t="s">
        <v>701</v>
      </c>
      <c r="E235" s="34" t="s">
        <v>701</v>
      </c>
      <c r="F235" s="34">
        <f t="shared" si="3"/>
        <v>11</v>
      </c>
      <c r="G235" s="34">
        <v>9434</v>
      </c>
      <c r="H235" s="34" t="s">
        <v>708</v>
      </c>
      <c r="I235" s="35"/>
      <c r="J235" s="35">
        <v>2.06</v>
      </c>
      <c r="K235" s="35">
        <v>-2.06</v>
      </c>
      <c r="L235" s="35">
        <v>-81.78</v>
      </c>
      <c r="M235" s="34" t="s">
        <v>779</v>
      </c>
    </row>
    <row r="236" spans="2:13" s="34" customFormat="1" ht="12.5" x14ac:dyDescent="0.25">
      <c r="B236" s="34">
        <v>201040217</v>
      </c>
      <c r="C236" s="34" t="s">
        <v>146</v>
      </c>
      <c r="D236" s="34" t="s">
        <v>701</v>
      </c>
      <c r="E236" s="34" t="s">
        <v>701</v>
      </c>
      <c r="F236" s="34">
        <f t="shared" si="3"/>
        <v>11</v>
      </c>
      <c r="G236" s="34">
        <v>9435</v>
      </c>
      <c r="H236" s="34" t="s">
        <v>709</v>
      </c>
      <c r="I236" s="35"/>
      <c r="J236" s="35">
        <v>1.65</v>
      </c>
      <c r="K236" s="35">
        <v>-1.65</v>
      </c>
      <c r="L236" s="35">
        <v>-83.43</v>
      </c>
      <c r="M236" s="34" t="s">
        <v>779</v>
      </c>
    </row>
    <row r="237" spans="2:13" s="34" customFormat="1" ht="12.5" x14ac:dyDescent="0.25">
      <c r="B237" s="34">
        <v>201040217</v>
      </c>
      <c r="C237" s="34" t="s">
        <v>146</v>
      </c>
      <c r="D237" s="34" t="s">
        <v>701</v>
      </c>
      <c r="E237" s="34" t="s">
        <v>701</v>
      </c>
      <c r="F237" s="34">
        <f t="shared" si="3"/>
        <v>11</v>
      </c>
      <c r="G237" s="34">
        <v>9436</v>
      </c>
      <c r="H237" s="34" t="s">
        <v>710</v>
      </c>
      <c r="I237" s="35"/>
      <c r="J237" s="35">
        <v>1.65</v>
      </c>
      <c r="K237" s="35">
        <v>-1.65</v>
      </c>
      <c r="L237" s="35">
        <v>-85.08</v>
      </c>
      <c r="M237" s="34" t="s">
        <v>779</v>
      </c>
    </row>
    <row r="238" spans="2:13" s="34" customFormat="1" ht="12.5" x14ac:dyDescent="0.25">
      <c r="B238" s="34">
        <v>201040217</v>
      </c>
      <c r="C238" s="34" t="s">
        <v>146</v>
      </c>
      <c r="D238" s="34" t="s">
        <v>701</v>
      </c>
      <c r="E238" s="34" t="s">
        <v>701</v>
      </c>
      <c r="F238" s="34">
        <f t="shared" si="3"/>
        <v>11</v>
      </c>
      <c r="G238" s="34">
        <v>9437</v>
      </c>
      <c r="H238" s="34" t="s">
        <v>711</v>
      </c>
      <c r="I238" s="35"/>
      <c r="J238" s="35">
        <v>1.65</v>
      </c>
      <c r="K238" s="35">
        <v>-1.65</v>
      </c>
      <c r="L238" s="35">
        <v>-86.73</v>
      </c>
      <c r="M238" s="34" t="s">
        <v>779</v>
      </c>
    </row>
    <row r="239" spans="2:13" s="34" customFormat="1" ht="12.5" x14ac:dyDescent="0.25">
      <c r="B239" s="34">
        <v>201040217</v>
      </c>
      <c r="C239" s="34" t="s">
        <v>146</v>
      </c>
      <c r="D239" s="34" t="s">
        <v>701</v>
      </c>
      <c r="E239" s="34" t="s">
        <v>701</v>
      </c>
      <c r="F239" s="34">
        <f t="shared" si="3"/>
        <v>11</v>
      </c>
      <c r="G239" s="34">
        <v>9439</v>
      </c>
      <c r="H239" s="34" t="s">
        <v>712</v>
      </c>
      <c r="I239" s="35"/>
      <c r="J239" s="35">
        <v>7.12</v>
      </c>
      <c r="K239" s="35">
        <v>-7.12</v>
      </c>
      <c r="L239" s="35">
        <v>-93.85</v>
      </c>
      <c r="M239" s="34" t="s">
        <v>779</v>
      </c>
    </row>
    <row r="240" spans="2:13" s="34" customFormat="1" ht="12.5" x14ac:dyDescent="0.25">
      <c r="B240" s="34">
        <v>201040217</v>
      </c>
      <c r="C240" s="34" t="s">
        <v>146</v>
      </c>
      <c r="D240" s="34" t="s">
        <v>701</v>
      </c>
      <c r="E240" s="34" t="s">
        <v>701</v>
      </c>
      <c r="F240" s="34">
        <f t="shared" si="3"/>
        <v>11</v>
      </c>
      <c r="G240" s="34">
        <v>9440</v>
      </c>
      <c r="H240" s="34" t="s">
        <v>713</v>
      </c>
      <c r="I240" s="35"/>
      <c r="J240" s="35">
        <v>70.13</v>
      </c>
      <c r="K240" s="35">
        <v>-70.13</v>
      </c>
      <c r="L240" s="35">
        <v>-163.98</v>
      </c>
      <c r="M240" s="34" t="s">
        <v>779</v>
      </c>
    </row>
    <row r="241" spans="2:13" s="34" customFormat="1" ht="12.5" x14ac:dyDescent="0.25">
      <c r="B241" s="34">
        <v>201040217</v>
      </c>
      <c r="C241" s="34" t="s">
        <v>146</v>
      </c>
      <c r="D241" s="34" t="s">
        <v>701</v>
      </c>
      <c r="E241" s="34" t="s">
        <v>701</v>
      </c>
      <c r="F241" s="34">
        <f t="shared" si="3"/>
        <v>11</v>
      </c>
      <c r="G241" s="34">
        <v>9451</v>
      </c>
      <c r="H241" s="34" t="s">
        <v>714</v>
      </c>
      <c r="I241" s="35"/>
      <c r="J241" s="35">
        <v>6.27</v>
      </c>
      <c r="K241" s="35">
        <v>-6.27</v>
      </c>
      <c r="L241" s="35">
        <v>-170.25</v>
      </c>
      <c r="M241" s="34" t="s">
        <v>779</v>
      </c>
    </row>
    <row r="242" spans="2:13" s="34" customFormat="1" ht="12.5" x14ac:dyDescent="0.25">
      <c r="B242" s="34">
        <v>201040217</v>
      </c>
      <c r="C242" s="34" t="s">
        <v>146</v>
      </c>
      <c r="D242" s="34" t="s">
        <v>715</v>
      </c>
      <c r="E242" s="34" t="s">
        <v>715</v>
      </c>
      <c r="F242" s="34">
        <f t="shared" si="3"/>
        <v>11</v>
      </c>
      <c r="G242" s="34">
        <v>9607</v>
      </c>
      <c r="H242" s="34" t="s">
        <v>716</v>
      </c>
      <c r="I242" s="35"/>
      <c r="J242" s="35">
        <v>15.46</v>
      </c>
      <c r="K242" s="35">
        <v>-15.46</v>
      </c>
      <c r="L242" s="35">
        <v>-185.71</v>
      </c>
      <c r="M242" s="34" t="s">
        <v>779</v>
      </c>
    </row>
    <row r="243" spans="2:13" s="34" customFormat="1" ht="12.5" x14ac:dyDescent="0.25">
      <c r="B243" s="34">
        <v>201040217</v>
      </c>
      <c r="C243" s="34" t="s">
        <v>146</v>
      </c>
      <c r="D243" s="34" t="s">
        <v>717</v>
      </c>
      <c r="E243" s="34" t="s">
        <v>717</v>
      </c>
      <c r="F243" s="34">
        <f t="shared" si="3"/>
        <v>11</v>
      </c>
      <c r="G243" s="34">
        <v>9452</v>
      </c>
      <c r="H243" s="34" t="s">
        <v>718</v>
      </c>
      <c r="I243" s="35"/>
      <c r="J243" s="35">
        <v>1.65</v>
      </c>
      <c r="K243" s="35">
        <v>-1.65</v>
      </c>
      <c r="L243" s="35">
        <v>-187.36</v>
      </c>
      <c r="M243" s="34" t="s">
        <v>779</v>
      </c>
    </row>
    <row r="244" spans="2:13" s="34" customFormat="1" ht="12.5" x14ac:dyDescent="0.25">
      <c r="B244" s="34">
        <v>201040217</v>
      </c>
      <c r="C244" s="34" t="s">
        <v>146</v>
      </c>
      <c r="D244" s="34" t="s">
        <v>717</v>
      </c>
      <c r="E244" s="34" t="s">
        <v>717</v>
      </c>
      <c r="F244" s="34">
        <f t="shared" si="3"/>
        <v>11</v>
      </c>
      <c r="G244" s="34">
        <v>9453</v>
      </c>
      <c r="H244" s="34" t="s">
        <v>719</v>
      </c>
      <c r="I244" s="35"/>
      <c r="J244" s="35">
        <v>2.2000000000000002</v>
      </c>
      <c r="K244" s="35">
        <v>-2.2000000000000002</v>
      </c>
      <c r="L244" s="35">
        <v>-189.56</v>
      </c>
      <c r="M244" s="34" t="s">
        <v>779</v>
      </c>
    </row>
    <row r="245" spans="2:13" s="34" customFormat="1" ht="12.5" x14ac:dyDescent="0.25">
      <c r="B245" s="34">
        <v>201040217</v>
      </c>
      <c r="C245" s="34" t="s">
        <v>146</v>
      </c>
      <c r="D245" s="34" t="s">
        <v>720</v>
      </c>
      <c r="E245" s="34" t="s">
        <v>720</v>
      </c>
      <c r="F245" s="34">
        <f t="shared" si="3"/>
        <v>11</v>
      </c>
      <c r="G245" s="34">
        <v>9450</v>
      </c>
      <c r="H245" s="34" t="s">
        <v>721</v>
      </c>
      <c r="I245" s="35"/>
      <c r="J245" s="35">
        <v>11</v>
      </c>
      <c r="K245" s="35">
        <v>-11</v>
      </c>
      <c r="L245" s="35">
        <v>-200.56</v>
      </c>
      <c r="M245" s="34" t="s">
        <v>779</v>
      </c>
    </row>
    <row r="246" spans="2:13" s="34" customFormat="1" ht="12.5" x14ac:dyDescent="0.25">
      <c r="B246" s="34">
        <v>201040217</v>
      </c>
      <c r="C246" s="34" t="s">
        <v>146</v>
      </c>
      <c r="D246" s="34" t="s">
        <v>720</v>
      </c>
      <c r="E246" s="34" t="s">
        <v>720</v>
      </c>
      <c r="F246" s="34">
        <f t="shared" si="3"/>
        <v>11</v>
      </c>
      <c r="G246" s="34">
        <v>9518</v>
      </c>
      <c r="H246" s="34" t="s">
        <v>722</v>
      </c>
      <c r="I246" s="35"/>
      <c r="J246" s="35">
        <v>1.69</v>
      </c>
      <c r="K246" s="35">
        <v>-1.69</v>
      </c>
      <c r="L246" s="35">
        <v>-202.25</v>
      </c>
      <c r="M246" s="34" t="s">
        <v>779</v>
      </c>
    </row>
    <row r="247" spans="2:13" s="34" customFormat="1" ht="12.5" x14ac:dyDescent="0.25">
      <c r="B247" s="34">
        <v>201040217</v>
      </c>
      <c r="C247" s="34" t="s">
        <v>146</v>
      </c>
      <c r="D247" s="34" t="s">
        <v>723</v>
      </c>
      <c r="E247" s="34" t="s">
        <v>723</v>
      </c>
      <c r="F247" s="34">
        <f t="shared" si="3"/>
        <v>11</v>
      </c>
      <c r="G247" s="34">
        <v>9519</v>
      </c>
      <c r="H247" s="34" t="s">
        <v>724</v>
      </c>
      <c r="I247" s="35"/>
      <c r="J247" s="35">
        <v>1.69</v>
      </c>
      <c r="K247" s="35">
        <v>-1.69</v>
      </c>
      <c r="L247" s="35">
        <v>-203.94</v>
      </c>
      <c r="M247" s="34" t="s">
        <v>779</v>
      </c>
    </row>
    <row r="248" spans="2:13" s="34" customFormat="1" ht="12.5" x14ac:dyDescent="0.25">
      <c r="B248" s="34">
        <v>201040217</v>
      </c>
      <c r="C248" s="34" t="s">
        <v>146</v>
      </c>
      <c r="D248" s="34" t="s">
        <v>725</v>
      </c>
      <c r="E248" s="34" t="s">
        <v>725</v>
      </c>
      <c r="F248" s="34">
        <f t="shared" si="3"/>
        <v>11</v>
      </c>
      <c r="G248" s="34">
        <v>9608</v>
      </c>
      <c r="H248" s="34" t="s">
        <v>726</v>
      </c>
      <c r="I248" s="35"/>
      <c r="J248" s="35">
        <v>2.2799999999999998</v>
      </c>
      <c r="K248" s="35">
        <v>-2.2799999999999998</v>
      </c>
      <c r="L248" s="35">
        <v>-206.22</v>
      </c>
      <c r="M248" s="34" t="s">
        <v>779</v>
      </c>
    </row>
    <row r="249" spans="2:13" s="34" customFormat="1" ht="12.5" x14ac:dyDescent="0.25">
      <c r="B249" s="34">
        <v>201040217</v>
      </c>
      <c r="C249" s="34" t="s">
        <v>146</v>
      </c>
      <c r="D249" s="34" t="s">
        <v>725</v>
      </c>
      <c r="E249" s="34" t="s">
        <v>725</v>
      </c>
      <c r="F249" s="34">
        <f t="shared" si="3"/>
        <v>11</v>
      </c>
      <c r="G249" s="34">
        <v>9609</v>
      </c>
      <c r="H249" s="34" t="s">
        <v>727</v>
      </c>
      <c r="I249" s="35"/>
      <c r="J249" s="35">
        <v>1.33</v>
      </c>
      <c r="K249" s="35">
        <v>-1.33</v>
      </c>
      <c r="L249" s="35">
        <v>-207.55</v>
      </c>
      <c r="M249" s="34" t="s">
        <v>779</v>
      </c>
    </row>
    <row r="250" spans="2:13" s="34" customFormat="1" ht="12.5" x14ac:dyDescent="0.25">
      <c r="B250" s="34">
        <v>201040217</v>
      </c>
      <c r="C250" s="34" t="s">
        <v>146</v>
      </c>
      <c r="D250" s="34" t="s">
        <v>728</v>
      </c>
      <c r="E250" s="34" t="s">
        <v>729</v>
      </c>
      <c r="F250" s="34">
        <f t="shared" si="3"/>
        <v>12</v>
      </c>
      <c r="G250" s="34">
        <v>9520</v>
      </c>
      <c r="H250" s="34" t="s">
        <v>730</v>
      </c>
      <c r="I250" s="35"/>
      <c r="J250" s="35">
        <v>66</v>
      </c>
      <c r="K250" s="35">
        <v>-66</v>
      </c>
      <c r="L250" s="35">
        <v>-273.55</v>
      </c>
      <c r="M250" s="34" t="s">
        <v>779</v>
      </c>
    </row>
    <row r="251" spans="2:13" s="34" customFormat="1" ht="12.5" x14ac:dyDescent="0.25">
      <c r="B251" s="34">
        <v>201040217</v>
      </c>
      <c r="C251" s="34" t="s">
        <v>146</v>
      </c>
      <c r="D251" s="34" t="s">
        <v>677</v>
      </c>
      <c r="E251" s="34" t="s">
        <v>677</v>
      </c>
      <c r="F251" s="34">
        <f t="shared" si="3"/>
        <v>11</v>
      </c>
      <c r="G251" s="34">
        <v>9517</v>
      </c>
      <c r="H251" s="34" t="s">
        <v>731</v>
      </c>
      <c r="I251" s="35"/>
      <c r="J251" s="35">
        <v>18.98</v>
      </c>
      <c r="K251" s="35">
        <v>-18.98</v>
      </c>
      <c r="L251" s="35">
        <v>-292.52999999999997</v>
      </c>
      <c r="M251" s="34" t="s">
        <v>779</v>
      </c>
    </row>
    <row r="252" spans="2:13" s="34" customFormat="1" ht="12.5" x14ac:dyDescent="0.25">
      <c r="B252" s="34">
        <v>201040217</v>
      </c>
      <c r="C252" s="34" t="s">
        <v>146</v>
      </c>
      <c r="D252" s="34" t="s">
        <v>732</v>
      </c>
      <c r="E252" s="34" t="s">
        <v>677</v>
      </c>
      <c r="F252" s="34">
        <f t="shared" si="3"/>
        <v>12</v>
      </c>
      <c r="G252" s="34">
        <v>9521</v>
      </c>
      <c r="H252" s="34" t="s">
        <v>733</v>
      </c>
      <c r="I252" s="35"/>
      <c r="J252" s="35">
        <v>20.6</v>
      </c>
      <c r="K252" s="35">
        <v>-20.6</v>
      </c>
      <c r="L252" s="35">
        <v>-313.13</v>
      </c>
      <c r="M252" s="34" t="s">
        <v>779</v>
      </c>
    </row>
    <row r="253" spans="2:13" s="34" customFormat="1" ht="12.5" x14ac:dyDescent="0.25">
      <c r="B253" s="34">
        <v>201040217</v>
      </c>
      <c r="C253" s="34" t="s">
        <v>146</v>
      </c>
      <c r="D253" s="34" t="s">
        <v>734</v>
      </c>
      <c r="E253" s="34" t="s">
        <v>734</v>
      </c>
      <c r="F253" s="34">
        <f t="shared" si="3"/>
        <v>11</v>
      </c>
      <c r="G253" s="34">
        <v>9654</v>
      </c>
      <c r="H253" s="34" t="s">
        <v>735</v>
      </c>
      <c r="I253" s="35"/>
      <c r="J253" s="35">
        <v>2.57</v>
      </c>
      <c r="K253" s="35">
        <v>-2.57</v>
      </c>
      <c r="L253" s="35">
        <v>-315.7</v>
      </c>
      <c r="M253" s="34" t="s">
        <v>779</v>
      </c>
    </row>
    <row r="254" spans="2:13" s="34" customFormat="1" ht="12.5" x14ac:dyDescent="0.25">
      <c r="B254" s="34">
        <v>201040217</v>
      </c>
      <c r="C254" s="34" t="s">
        <v>146</v>
      </c>
      <c r="D254" s="34" t="s">
        <v>734</v>
      </c>
      <c r="E254" s="34" t="s">
        <v>734</v>
      </c>
      <c r="F254" s="34">
        <f t="shared" si="3"/>
        <v>11</v>
      </c>
      <c r="G254" s="34">
        <v>9655</v>
      </c>
      <c r="H254" s="34" t="s">
        <v>736</v>
      </c>
      <c r="I254" s="35"/>
      <c r="J254" s="35">
        <v>-2.57</v>
      </c>
      <c r="K254" s="35">
        <v>2.57</v>
      </c>
      <c r="L254" s="35">
        <v>-313.13</v>
      </c>
      <c r="M254" s="34" t="s">
        <v>779</v>
      </c>
    </row>
    <row r="255" spans="2:13" s="34" customFormat="1" ht="12.5" x14ac:dyDescent="0.25">
      <c r="B255" s="34">
        <v>201040217</v>
      </c>
      <c r="C255" s="34" t="s">
        <v>146</v>
      </c>
      <c r="D255" s="34" t="s">
        <v>412</v>
      </c>
      <c r="E255" s="34" t="s">
        <v>737</v>
      </c>
      <c r="F255" s="34">
        <f t="shared" si="3"/>
        <v>11</v>
      </c>
      <c r="G255" s="34">
        <v>9610</v>
      </c>
      <c r="H255" s="34" t="s">
        <v>738</v>
      </c>
      <c r="I255" s="35"/>
      <c r="J255" s="35">
        <v>8.27</v>
      </c>
      <c r="K255" s="35">
        <v>-8.27</v>
      </c>
      <c r="L255" s="35">
        <v>-321.39999999999998</v>
      </c>
      <c r="M255" s="34" t="s">
        <v>779</v>
      </c>
    </row>
    <row r="256" spans="2:13" s="34" customFormat="1" ht="12.5" x14ac:dyDescent="0.25">
      <c r="B256" s="34">
        <v>201040217</v>
      </c>
      <c r="C256" s="34" t="s">
        <v>146</v>
      </c>
      <c r="D256" s="34" t="s">
        <v>412</v>
      </c>
      <c r="E256" s="34" t="s">
        <v>739</v>
      </c>
      <c r="F256" s="34">
        <f t="shared" si="3"/>
        <v>11</v>
      </c>
      <c r="G256" s="34">
        <v>9611</v>
      </c>
      <c r="H256" s="34" t="s">
        <v>740</v>
      </c>
      <c r="I256" s="35"/>
      <c r="J256" s="35">
        <v>2.17</v>
      </c>
      <c r="K256" s="35">
        <v>-2.17</v>
      </c>
      <c r="L256" s="35">
        <v>-323.57</v>
      </c>
      <c r="M256" s="34" t="s">
        <v>779</v>
      </c>
    </row>
    <row r="257" spans="2:13" s="34" customFormat="1" ht="12.5" x14ac:dyDescent="0.25">
      <c r="B257" s="34">
        <v>201040217</v>
      </c>
      <c r="C257" s="34" t="s">
        <v>146</v>
      </c>
      <c r="D257" s="34" t="s">
        <v>412</v>
      </c>
      <c r="E257" s="34" t="s">
        <v>412</v>
      </c>
      <c r="F257" s="34">
        <f t="shared" si="3"/>
        <v>11</v>
      </c>
      <c r="G257" s="34">
        <v>9587</v>
      </c>
      <c r="H257" s="34" t="s">
        <v>704</v>
      </c>
      <c r="I257" s="35">
        <v>79.72</v>
      </c>
      <c r="J257" s="35"/>
      <c r="K257" s="35">
        <v>79.72</v>
      </c>
      <c r="L257" s="35">
        <v>-243.85</v>
      </c>
      <c r="M257" s="34" t="s">
        <v>782</v>
      </c>
    </row>
    <row r="258" spans="2:13" s="34" customFormat="1" ht="12.5" x14ac:dyDescent="0.25">
      <c r="B258" s="34">
        <v>201040217</v>
      </c>
      <c r="C258" s="34" t="s">
        <v>146</v>
      </c>
      <c r="D258" s="34" t="s">
        <v>412</v>
      </c>
      <c r="E258" s="34" t="s">
        <v>412</v>
      </c>
      <c r="F258" s="34">
        <f t="shared" si="3"/>
        <v>11</v>
      </c>
      <c r="G258" s="34">
        <v>9612</v>
      </c>
      <c r="H258" s="34" t="s">
        <v>741</v>
      </c>
      <c r="I258" s="35"/>
      <c r="J258" s="35">
        <v>7.86</v>
      </c>
      <c r="K258" s="35">
        <v>-7.86</v>
      </c>
      <c r="L258" s="35">
        <v>-251.71</v>
      </c>
      <c r="M258" s="34" t="s">
        <v>779</v>
      </c>
    </row>
    <row r="259" spans="2:13" s="34" customFormat="1" ht="12.5" x14ac:dyDescent="0.25">
      <c r="B259" s="34">
        <v>201040217</v>
      </c>
      <c r="C259" s="34" t="s">
        <v>146</v>
      </c>
      <c r="D259" s="34" t="s">
        <v>742</v>
      </c>
      <c r="E259" s="34" t="s">
        <v>742</v>
      </c>
      <c r="F259" s="34">
        <f t="shared" ref="F259:F318" si="4">MONTH(D259)</f>
        <v>11</v>
      </c>
      <c r="G259" s="34">
        <v>9530</v>
      </c>
      <c r="H259" s="34" t="s">
        <v>743</v>
      </c>
      <c r="I259" s="35"/>
      <c r="J259" s="35">
        <v>1.65</v>
      </c>
      <c r="K259" s="35">
        <v>-1.65</v>
      </c>
      <c r="L259" s="35">
        <v>-253.36</v>
      </c>
      <c r="M259" s="34" t="s">
        <v>779</v>
      </c>
    </row>
    <row r="260" spans="2:13" s="34" customFormat="1" ht="12.5" x14ac:dyDescent="0.25">
      <c r="B260" s="34">
        <v>201040217</v>
      </c>
      <c r="C260" s="34" t="s">
        <v>146</v>
      </c>
      <c r="D260" s="34" t="s">
        <v>742</v>
      </c>
      <c r="E260" s="34" t="s">
        <v>742</v>
      </c>
      <c r="F260" s="34">
        <f t="shared" si="4"/>
        <v>11</v>
      </c>
      <c r="G260" s="34">
        <v>9538</v>
      </c>
      <c r="H260" s="34" t="s">
        <v>744</v>
      </c>
      <c r="I260" s="35"/>
      <c r="J260" s="35">
        <v>2.2000000000000002</v>
      </c>
      <c r="K260" s="35">
        <v>-2.2000000000000002</v>
      </c>
      <c r="L260" s="35">
        <v>-255.56</v>
      </c>
      <c r="M260" s="34" t="s">
        <v>779</v>
      </c>
    </row>
    <row r="261" spans="2:13" s="34" customFormat="1" ht="12.5" x14ac:dyDescent="0.25">
      <c r="B261" s="34">
        <v>201040217</v>
      </c>
      <c r="C261" s="34" t="s">
        <v>146</v>
      </c>
      <c r="D261" s="34" t="s">
        <v>742</v>
      </c>
      <c r="E261" s="34" t="s">
        <v>742</v>
      </c>
      <c r="F261" s="34">
        <f t="shared" si="4"/>
        <v>11</v>
      </c>
      <c r="G261" s="34">
        <v>9539</v>
      </c>
      <c r="H261" s="34" t="s">
        <v>745</v>
      </c>
      <c r="I261" s="35"/>
      <c r="J261" s="35">
        <v>1.65</v>
      </c>
      <c r="K261" s="35">
        <v>-1.65</v>
      </c>
      <c r="L261" s="35">
        <v>-257.20999999999998</v>
      </c>
      <c r="M261" s="34" t="s">
        <v>779</v>
      </c>
    </row>
    <row r="262" spans="2:13" s="34" customFormat="1" ht="12.5" x14ac:dyDescent="0.25">
      <c r="B262" s="34">
        <v>201040217</v>
      </c>
      <c r="C262" s="34" t="s">
        <v>146</v>
      </c>
      <c r="D262" s="34" t="s">
        <v>746</v>
      </c>
      <c r="E262" s="34" t="s">
        <v>746</v>
      </c>
      <c r="F262" s="34">
        <f t="shared" si="4"/>
        <v>12</v>
      </c>
      <c r="G262" s="34">
        <v>9613</v>
      </c>
      <c r="H262" s="34" t="s">
        <v>747</v>
      </c>
      <c r="I262" s="35"/>
      <c r="J262" s="35">
        <v>4.41</v>
      </c>
      <c r="K262" s="35">
        <v>-4.41</v>
      </c>
      <c r="L262" s="35">
        <v>-261.62</v>
      </c>
      <c r="M262" s="34" t="s">
        <v>779</v>
      </c>
    </row>
    <row r="263" spans="2:13" s="34" customFormat="1" ht="12.5" x14ac:dyDescent="0.25">
      <c r="B263" s="34">
        <v>201040217</v>
      </c>
      <c r="C263" s="34" t="s">
        <v>146</v>
      </c>
      <c r="D263" s="34" t="s">
        <v>746</v>
      </c>
      <c r="E263" s="34" t="s">
        <v>746</v>
      </c>
      <c r="F263" s="34">
        <f t="shared" si="4"/>
        <v>12</v>
      </c>
      <c r="G263" s="34">
        <v>9615</v>
      </c>
      <c r="H263" s="34" t="s">
        <v>748</v>
      </c>
      <c r="I263" s="35"/>
      <c r="J263" s="35">
        <v>70.13</v>
      </c>
      <c r="K263" s="35">
        <v>-70.13</v>
      </c>
      <c r="L263" s="35">
        <v>-331.75</v>
      </c>
      <c r="M263" s="34" t="s">
        <v>779</v>
      </c>
    </row>
    <row r="264" spans="2:13" s="34" customFormat="1" ht="12.5" x14ac:dyDescent="0.25">
      <c r="B264" s="34">
        <v>201040217</v>
      </c>
      <c r="C264" s="34" t="s">
        <v>146</v>
      </c>
      <c r="D264" s="34" t="s">
        <v>746</v>
      </c>
      <c r="E264" s="34" t="s">
        <v>746</v>
      </c>
      <c r="F264" s="34">
        <f t="shared" si="4"/>
        <v>12</v>
      </c>
      <c r="G264" s="34">
        <v>9644</v>
      </c>
      <c r="H264" s="34" t="s">
        <v>749</v>
      </c>
      <c r="I264" s="35"/>
      <c r="J264" s="35">
        <v>2.06</v>
      </c>
      <c r="K264" s="35">
        <v>-2.06</v>
      </c>
      <c r="L264" s="35">
        <v>-333.81</v>
      </c>
      <c r="M264" s="34" t="s">
        <v>779</v>
      </c>
    </row>
    <row r="265" spans="2:13" s="34" customFormat="1" ht="12.5" x14ac:dyDescent="0.25">
      <c r="B265" s="34">
        <v>201040217</v>
      </c>
      <c r="C265" s="34" t="s">
        <v>146</v>
      </c>
      <c r="D265" s="34" t="s">
        <v>746</v>
      </c>
      <c r="E265" s="34" t="s">
        <v>746</v>
      </c>
      <c r="F265" s="34">
        <f t="shared" si="4"/>
        <v>12</v>
      </c>
      <c r="G265" s="34">
        <v>9647</v>
      </c>
      <c r="H265" s="34" t="s">
        <v>750</v>
      </c>
      <c r="I265" s="35"/>
      <c r="J265" s="35">
        <v>0.38</v>
      </c>
      <c r="K265" s="35">
        <v>-0.38</v>
      </c>
      <c r="L265" s="35">
        <v>-334.19</v>
      </c>
      <c r="M265" s="34" t="s">
        <v>779</v>
      </c>
    </row>
    <row r="266" spans="2:13" s="34" customFormat="1" ht="12.5" x14ac:dyDescent="0.25">
      <c r="B266" s="34">
        <v>201040217</v>
      </c>
      <c r="C266" s="34" t="s">
        <v>146</v>
      </c>
      <c r="D266" s="34" t="s">
        <v>751</v>
      </c>
      <c r="E266" s="34" t="s">
        <v>751</v>
      </c>
      <c r="F266" s="34">
        <f t="shared" si="4"/>
        <v>12</v>
      </c>
      <c r="G266" s="34">
        <v>9614</v>
      </c>
      <c r="H266" s="34" t="s">
        <v>752</v>
      </c>
      <c r="I266" s="35"/>
      <c r="J266" s="35">
        <v>1.84</v>
      </c>
      <c r="K266" s="35">
        <v>-1.84</v>
      </c>
      <c r="L266" s="35">
        <v>-336.03</v>
      </c>
      <c r="M266" s="34" t="s">
        <v>779</v>
      </c>
    </row>
    <row r="267" spans="2:13" s="34" customFormat="1" ht="12.5" x14ac:dyDescent="0.25">
      <c r="B267" s="34">
        <v>201040217</v>
      </c>
      <c r="C267" s="34" t="s">
        <v>146</v>
      </c>
      <c r="D267" s="34" t="s">
        <v>751</v>
      </c>
      <c r="E267" s="34" t="s">
        <v>751</v>
      </c>
      <c r="F267" s="34">
        <f t="shared" si="4"/>
        <v>12</v>
      </c>
      <c r="G267" s="34">
        <v>9616</v>
      </c>
      <c r="H267" s="34" t="s">
        <v>753</v>
      </c>
      <c r="I267" s="35"/>
      <c r="J267" s="35">
        <v>18.18</v>
      </c>
      <c r="K267" s="35">
        <v>-18.18</v>
      </c>
      <c r="L267" s="35">
        <v>-354.21</v>
      </c>
      <c r="M267" s="34" t="s">
        <v>779</v>
      </c>
    </row>
    <row r="268" spans="2:13" s="34" customFormat="1" ht="12.5" x14ac:dyDescent="0.25">
      <c r="B268" s="34">
        <v>201040217</v>
      </c>
      <c r="C268" s="34" t="s">
        <v>146</v>
      </c>
      <c r="D268" s="34" t="s">
        <v>751</v>
      </c>
      <c r="E268" s="34" t="s">
        <v>751</v>
      </c>
      <c r="F268" s="34">
        <f t="shared" si="4"/>
        <v>12</v>
      </c>
      <c r="G268" s="34">
        <v>9643</v>
      </c>
      <c r="H268" s="34" t="s">
        <v>754</v>
      </c>
      <c r="I268" s="35"/>
      <c r="J268" s="35">
        <v>1.69</v>
      </c>
      <c r="K268" s="35">
        <v>-1.69</v>
      </c>
      <c r="L268" s="35">
        <v>-355.9</v>
      </c>
      <c r="M268" s="34" t="s">
        <v>779</v>
      </c>
    </row>
    <row r="269" spans="2:13" s="34" customFormat="1" ht="12.5" x14ac:dyDescent="0.25">
      <c r="B269" s="34">
        <v>201040217</v>
      </c>
      <c r="C269" s="34" t="s">
        <v>146</v>
      </c>
      <c r="D269" s="34" t="s">
        <v>755</v>
      </c>
      <c r="E269" s="34" t="s">
        <v>756</v>
      </c>
      <c r="F269" s="34">
        <f t="shared" si="4"/>
        <v>12</v>
      </c>
      <c r="G269" s="34">
        <v>9641</v>
      </c>
      <c r="H269" s="34" t="s">
        <v>757</v>
      </c>
      <c r="I269" s="35"/>
      <c r="J269" s="35">
        <v>66</v>
      </c>
      <c r="K269" s="35">
        <v>-66</v>
      </c>
      <c r="L269" s="35">
        <v>-421.9</v>
      </c>
      <c r="M269" s="34" t="s">
        <v>779</v>
      </c>
    </row>
    <row r="270" spans="2:13" s="34" customFormat="1" ht="12.5" x14ac:dyDescent="0.25">
      <c r="B270" s="34">
        <v>201040217</v>
      </c>
      <c r="C270" s="34" t="s">
        <v>146</v>
      </c>
      <c r="D270" s="34" t="s">
        <v>758</v>
      </c>
      <c r="E270" s="34" t="s">
        <v>758</v>
      </c>
      <c r="F270" s="34">
        <f t="shared" si="4"/>
        <v>12</v>
      </c>
      <c r="G270" s="34">
        <v>9742</v>
      </c>
      <c r="H270" s="34" t="s">
        <v>759</v>
      </c>
      <c r="I270" s="35"/>
      <c r="J270" s="35">
        <v>20.46</v>
      </c>
      <c r="K270" s="35">
        <v>-20.46</v>
      </c>
      <c r="L270" s="35">
        <v>-442.36</v>
      </c>
      <c r="M270" s="34" t="s">
        <v>779</v>
      </c>
    </row>
    <row r="271" spans="2:13" s="34" customFormat="1" ht="12.5" x14ac:dyDescent="0.25">
      <c r="B271" s="34">
        <v>201040217</v>
      </c>
      <c r="C271" s="34" t="s">
        <v>146</v>
      </c>
      <c r="D271" s="34" t="s">
        <v>760</v>
      </c>
      <c r="E271" s="34" t="s">
        <v>760</v>
      </c>
      <c r="F271" s="34">
        <f t="shared" si="4"/>
        <v>12</v>
      </c>
      <c r="G271" s="34">
        <v>9682</v>
      </c>
      <c r="H271" s="34" t="s">
        <v>761</v>
      </c>
      <c r="I271" s="35"/>
      <c r="J271" s="35">
        <v>11</v>
      </c>
      <c r="K271" s="35">
        <v>-11</v>
      </c>
      <c r="L271" s="35">
        <v>-453.36</v>
      </c>
      <c r="M271" s="34" t="s">
        <v>779</v>
      </c>
    </row>
    <row r="272" spans="2:13" s="34" customFormat="1" ht="12.5" x14ac:dyDescent="0.25">
      <c r="B272" s="34">
        <v>201040217</v>
      </c>
      <c r="C272" s="34" t="s">
        <v>146</v>
      </c>
      <c r="D272" s="34" t="s">
        <v>755</v>
      </c>
      <c r="E272" s="34" t="s">
        <v>732</v>
      </c>
      <c r="F272" s="34">
        <f t="shared" si="4"/>
        <v>12</v>
      </c>
      <c r="G272" s="34">
        <v>9715</v>
      </c>
      <c r="H272" s="34" t="s">
        <v>762</v>
      </c>
      <c r="I272" s="35"/>
      <c r="J272" s="35">
        <v>13.04</v>
      </c>
      <c r="K272" s="35">
        <v>-13.04</v>
      </c>
      <c r="L272" s="35">
        <v>-466.4</v>
      </c>
      <c r="M272" s="34" t="s">
        <v>779</v>
      </c>
    </row>
    <row r="273" spans="2:13" s="34" customFormat="1" ht="12.5" x14ac:dyDescent="0.25">
      <c r="B273" s="34">
        <v>201040217</v>
      </c>
      <c r="C273" s="34" t="s">
        <v>146</v>
      </c>
      <c r="D273" s="34" t="s">
        <v>706</v>
      </c>
      <c r="E273" s="34" t="s">
        <v>706</v>
      </c>
      <c r="F273" s="34">
        <f t="shared" si="4"/>
        <v>12</v>
      </c>
      <c r="G273" s="34">
        <v>9714</v>
      </c>
      <c r="H273" s="34" t="s">
        <v>763</v>
      </c>
      <c r="I273" s="35"/>
      <c r="J273" s="35">
        <v>6.6</v>
      </c>
      <c r="K273" s="35">
        <v>-6.6</v>
      </c>
      <c r="L273" s="35">
        <v>-473</v>
      </c>
      <c r="M273" s="34" t="s">
        <v>779</v>
      </c>
    </row>
    <row r="274" spans="2:13" s="34" customFormat="1" ht="12.5" x14ac:dyDescent="0.25">
      <c r="B274" s="34">
        <v>201040217</v>
      </c>
      <c r="C274" s="34" t="s">
        <v>146</v>
      </c>
      <c r="D274" s="34" t="s">
        <v>706</v>
      </c>
      <c r="E274" s="34" t="s">
        <v>706</v>
      </c>
      <c r="F274" s="34">
        <f t="shared" si="4"/>
        <v>12</v>
      </c>
      <c r="G274" s="34">
        <v>9727</v>
      </c>
      <c r="H274" s="34" t="s">
        <v>707</v>
      </c>
      <c r="I274" s="35">
        <v>257.20999999999998</v>
      </c>
      <c r="J274" s="35"/>
      <c r="K274" s="35">
        <v>257.20999999999998</v>
      </c>
      <c r="L274" s="35">
        <v>-215.79</v>
      </c>
      <c r="M274" s="34" t="s">
        <v>782</v>
      </c>
    </row>
    <row r="275" spans="2:13" s="34" customFormat="1" ht="12.5" x14ac:dyDescent="0.25">
      <c r="B275" s="34">
        <v>201040217</v>
      </c>
      <c r="C275" s="34" t="s">
        <v>146</v>
      </c>
      <c r="D275" s="34" t="s">
        <v>706</v>
      </c>
      <c r="E275" s="34" t="s">
        <v>706</v>
      </c>
      <c r="F275" s="34">
        <f t="shared" si="4"/>
        <v>12</v>
      </c>
      <c r="G275" s="34">
        <v>9743</v>
      </c>
      <c r="H275" s="34" t="s">
        <v>764</v>
      </c>
      <c r="I275" s="35"/>
      <c r="J275" s="35">
        <v>19.739999999999998</v>
      </c>
      <c r="K275" s="35">
        <v>-19.739999999999998</v>
      </c>
      <c r="L275" s="35">
        <v>-235.53</v>
      </c>
      <c r="M275" s="34" t="s">
        <v>779</v>
      </c>
    </row>
    <row r="276" spans="2:13" s="34" customFormat="1" ht="12.5" x14ac:dyDescent="0.25">
      <c r="B276" s="34">
        <v>201040217</v>
      </c>
      <c r="C276" s="34" t="s">
        <v>146</v>
      </c>
      <c r="D276" s="34" t="s">
        <v>765</v>
      </c>
      <c r="E276" s="34" t="s">
        <v>765</v>
      </c>
      <c r="F276" s="34">
        <f t="shared" si="4"/>
        <v>12</v>
      </c>
      <c r="G276" s="34">
        <v>9744</v>
      </c>
      <c r="H276" s="34" t="s">
        <v>766</v>
      </c>
      <c r="I276" s="35"/>
      <c r="J276" s="35">
        <v>24.05</v>
      </c>
      <c r="K276" s="35">
        <v>-24.05</v>
      </c>
      <c r="L276" s="35">
        <v>-259.58</v>
      </c>
      <c r="M276" s="34" t="s">
        <v>779</v>
      </c>
    </row>
    <row r="277" spans="2:13" s="34" customFormat="1" ht="12.5" x14ac:dyDescent="0.25">
      <c r="B277" s="34">
        <v>201040217</v>
      </c>
      <c r="C277" s="34" t="s">
        <v>146</v>
      </c>
      <c r="D277" s="34" t="s">
        <v>767</v>
      </c>
      <c r="E277" s="34" t="s">
        <v>767</v>
      </c>
      <c r="F277" s="34">
        <f t="shared" si="4"/>
        <v>12</v>
      </c>
      <c r="G277" s="34">
        <v>9745</v>
      </c>
      <c r="H277" s="34" t="s">
        <v>768</v>
      </c>
      <c r="I277" s="35"/>
      <c r="J277" s="35">
        <v>24.17</v>
      </c>
      <c r="K277" s="35">
        <v>-24.17</v>
      </c>
      <c r="L277" s="35">
        <v>-283.75</v>
      </c>
      <c r="M277" s="34" t="s">
        <v>779</v>
      </c>
    </row>
    <row r="278" spans="2:13" s="34" customFormat="1" ht="12.5" x14ac:dyDescent="0.25">
      <c r="B278" s="34">
        <v>201040206</v>
      </c>
      <c r="C278" s="34" t="s">
        <v>168</v>
      </c>
      <c r="D278" s="34">
        <v>2021</v>
      </c>
      <c r="E278" s="34" t="s">
        <v>43</v>
      </c>
      <c r="F278" s="34">
        <f t="shared" si="4"/>
        <v>7</v>
      </c>
      <c r="H278" s="34" t="s">
        <v>168</v>
      </c>
      <c r="I278" s="35"/>
      <c r="J278" s="35"/>
      <c r="K278" s="35">
        <v>0</v>
      </c>
      <c r="L278" s="35">
        <v>0</v>
      </c>
      <c r="M278" s="34" t="s">
        <v>780</v>
      </c>
    </row>
    <row r="279" spans="2:13" s="34" customFormat="1" ht="12.5" x14ac:dyDescent="0.25">
      <c r="B279" s="34">
        <v>201040206</v>
      </c>
      <c r="C279" s="34" t="s">
        <v>168</v>
      </c>
      <c r="D279" s="34" t="s">
        <v>48</v>
      </c>
      <c r="E279" s="34" t="s">
        <v>48</v>
      </c>
      <c r="F279" s="34">
        <f t="shared" si="4"/>
        <v>1</v>
      </c>
      <c r="G279" s="34">
        <v>7995</v>
      </c>
      <c r="H279" s="34" t="s">
        <v>415</v>
      </c>
      <c r="I279" s="35"/>
      <c r="J279" s="35">
        <v>6.4</v>
      </c>
      <c r="K279" s="35">
        <v>-6.4</v>
      </c>
      <c r="L279" s="35">
        <v>-6.4</v>
      </c>
      <c r="M279" s="34" t="s">
        <v>779</v>
      </c>
    </row>
    <row r="280" spans="2:13" s="34" customFormat="1" ht="12.5" x14ac:dyDescent="0.25">
      <c r="B280" s="34">
        <v>201040206</v>
      </c>
      <c r="C280" s="34" t="s">
        <v>168</v>
      </c>
      <c r="D280" s="34" t="s">
        <v>52</v>
      </c>
      <c r="E280" s="34" t="s">
        <v>52</v>
      </c>
      <c r="F280" s="34">
        <f t="shared" si="4"/>
        <v>2</v>
      </c>
      <c r="G280" s="34">
        <v>8312</v>
      </c>
      <c r="H280" s="34" t="s">
        <v>178</v>
      </c>
      <c r="I280" s="35">
        <v>6.4</v>
      </c>
      <c r="J280" s="35"/>
      <c r="K280" s="35">
        <v>6.4</v>
      </c>
      <c r="L280" s="35">
        <v>0</v>
      </c>
      <c r="M280" s="34" t="s">
        <v>782</v>
      </c>
    </row>
    <row r="281" spans="2:13" s="34" customFormat="1" ht="12.5" x14ac:dyDescent="0.25">
      <c r="B281" s="34">
        <v>201040206</v>
      </c>
      <c r="C281" s="34" t="s">
        <v>168</v>
      </c>
      <c r="D281" s="34" t="s">
        <v>84</v>
      </c>
      <c r="E281" s="34" t="s">
        <v>84</v>
      </c>
      <c r="F281" s="34">
        <f t="shared" si="4"/>
        <v>5</v>
      </c>
      <c r="G281" s="34">
        <v>8634</v>
      </c>
      <c r="H281" s="34" t="s">
        <v>416</v>
      </c>
      <c r="I281" s="35"/>
      <c r="J281" s="35">
        <v>3.2</v>
      </c>
      <c r="K281" s="35">
        <v>-3.2</v>
      </c>
      <c r="L281" s="35">
        <v>-3.2</v>
      </c>
      <c r="M281" s="34" t="s">
        <v>779</v>
      </c>
    </row>
    <row r="282" spans="2:13" s="34" customFormat="1" ht="12.5" x14ac:dyDescent="0.25">
      <c r="B282" s="34">
        <v>201040206</v>
      </c>
      <c r="C282" s="34" t="s">
        <v>168</v>
      </c>
      <c r="D282" s="34" t="s">
        <v>230</v>
      </c>
      <c r="E282" s="34" t="s">
        <v>230</v>
      </c>
      <c r="F282" s="34">
        <f t="shared" si="4"/>
        <v>6</v>
      </c>
      <c r="G282" s="34">
        <v>8886</v>
      </c>
      <c r="H282" s="34" t="s">
        <v>231</v>
      </c>
      <c r="I282" s="35">
        <v>3.2</v>
      </c>
      <c r="J282" s="35"/>
      <c r="K282" s="35">
        <v>3.2</v>
      </c>
      <c r="L282" s="35">
        <v>0</v>
      </c>
      <c r="M282" s="34" t="s">
        <v>782</v>
      </c>
    </row>
    <row r="283" spans="2:13" s="34" customFormat="1" ht="12.5" x14ac:dyDescent="0.25">
      <c r="B283" s="34">
        <v>201040206</v>
      </c>
      <c r="C283" s="34" t="s">
        <v>168</v>
      </c>
      <c r="D283" s="34" t="s">
        <v>133</v>
      </c>
      <c r="E283" s="34" t="s">
        <v>133</v>
      </c>
      <c r="F283" s="34">
        <f t="shared" si="4"/>
        <v>6</v>
      </c>
      <c r="G283" s="34">
        <v>8771</v>
      </c>
      <c r="H283" s="34" t="s">
        <v>417</v>
      </c>
      <c r="I283" s="35"/>
      <c r="J283" s="35">
        <v>32</v>
      </c>
      <c r="K283" s="35">
        <v>-32</v>
      </c>
      <c r="L283" s="35">
        <v>-32</v>
      </c>
      <c r="M283" s="34" t="s">
        <v>779</v>
      </c>
    </row>
    <row r="284" spans="2:13" s="34" customFormat="1" ht="12.5" x14ac:dyDescent="0.25">
      <c r="B284" s="34">
        <v>201040206</v>
      </c>
      <c r="C284" s="34" t="s">
        <v>168</v>
      </c>
      <c r="D284" s="34" t="s">
        <v>95</v>
      </c>
      <c r="E284" s="34" t="s">
        <v>95</v>
      </c>
      <c r="F284" s="34">
        <f t="shared" si="4"/>
        <v>7</v>
      </c>
      <c r="G284" s="34">
        <v>8956</v>
      </c>
      <c r="H284" s="34" t="s">
        <v>234</v>
      </c>
      <c r="I284" s="35">
        <v>2040</v>
      </c>
      <c r="J284" s="35"/>
      <c r="K284" s="35">
        <v>2040</v>
      </c>
      <c r="L284" s="35">
        <v>2008</v>
      </c>
      <c r="M284" s="34" t="s">
        <v>781</v>
      </c>
    </row>
    <row r="285" spans="2:13" s="34" customFormat="1" ht="12.5" x14ac:dyDescent="0.25">
      <c r="B285" s="34">
        <v>201040206</v>
      </c>
      <c r="C285" s="34" t="s">
        <v>168</v>
      </c>
      <c r="D285" s="34" t="s">
        <v>95</v>
      </c>
      <c r="E285" s="34" t="s">
        <v>95</v>
      </c>
      <c r="F285" s="34">
        <f t="shared" si="4"/>
        <v>7</v>
      </c>
      <c r="G285" s="34">
        <v>8986</v>
      </c>
      <c r="H285" s="34" t="s">
        <v>235</v>
      </c>
      <c r="I285" s="35">
        <v>-2040</v>
      </c>
      <c r="J285" s="35"/>
      <c r="K285" s="35">
        <v>-2040</v>
      </c>
      <c r="L285" s="35">
        <v>-32</v>
      </c>
      <c r="M285" s="34" t="s">
        <v>781</v>
      </c>
    </row>
    <row r="286" spans="2:13" s="34" customFormat="1" ht="12.5" x14ac:dyDescent="0.25">
      <c r="B286" s="34">
        <v>201040206</v>
      </c>
      <c r="C286" s="34" t="s">
        <v>168</v>
      </c>
      <c r="D286" s="34" t="s">
        <v>95</v>
      </c>
      <c r="E286" s="34" t="s">
        <v>95</v>
      </c>
      <c r="F286" s="34">
        <f t="shared" si="4"/>
        <v>7</v>
      </c>
      <c r="G286" s="34">
        <v>8987</v>
      </c>
      <c r="H286" s="34" t="s">
        <v>234</v>
      </c>
      <c r="I286" s="35">
        <v>32</v>
      </c>
      <c r="J286" s="35"/>
      <c r="K286" s="35">
        <v>32</v>
      </c>
      <c r="L286" s="35">
        <v>0</v>
      </c>
      <c r="M286" s="34" t="s">
        <v>782</v>
      </c>
    </row>
    <row r="287" spans="2:13" s="34" customFormat="1" ht="12.5" x14ac:dyDescent="0.25">
      <c r="B287" s="34">
        <v>201040206</v>
      </c>
      <c r="C287" s="34" t="s">
        <v>168</v>
      </c>
      <c r="D287" s="34" t="s">
        <v>418</v>
      </c>
      <c r="E287" s="34" t="s">
        <v>418</v>
      </c>
      <c r="F287" s="34">
        <f t="shared" si="4"/>
        <v>9</v>
      </c>
      <c r="G287" s="34">
        <v>9172</v>
      </c>
      <c r="H287" s="34" t="s">
        <v>419</v>
      </c>
      <c r="I287" s="35"/>
      <c r="J287" s="35">
        <v>4.71</v>
      </c>
      <c r="K287" s="35">
        <v>-4.71</v>
      </c>
      <c r="L287" s="35">
        <v>-4.71</v>
      </c>
      <c r="M287" s="34" t="s">
        <v>779</v>
      </c>
    </row>
    <row r="288" spans="2:13" s="34" customFormat="1" ht="12.5" x14ac:dyDescent="0.25">
      <c r="B288" s="34">
        <v>201040206</v>
      </c>
      <c r="C288" s="34" t="s">
        <v>168</v>
      </c>
      <c r="D288" s="34" t="s">
        <v>143</v>
      </c>
      <c r="E288" s="34" t="s">
        <v>143</v>
      </c>
      <c r="F288" s="34">
        <f t="shared" si="4"/>
        <v>10</v>
      </c>
      <c r="G288" s="34">
        <v>9295</v>
      </c>
      <c r="H288" s="34" t="s">
        <v>420</v>
      </c>
      <c r="I288" s="35"/>
      <c r="J288" s="35">
        <v>4.68</v>
      </c>
      <c r="K288" s="35">
        <v>-4.68</v>
      </c>
      <c r="L288" s="35">
        <v>-9.39</v>
      </c>
      <c r="M288" s="34" t="s">
        <v>779</v>
      </c>
    </row>
    <row r="289" spans="2:13" s="34" customFormat="1" ht="12.5" x14ac:dyDescent="0.25">
      <c r="B289" s="34">
        <v>201040206</v>
      </c>
      <c r="C289" s="34" t="s">
        <v>168</v>
      </c>
      <c r="D289" s="34" t="s">
        <v>126</v>
      </c>
      <c r="E289" s="34" t="s">
        <v>126</v>
      </c>
      <c r="F289" s="34">
        <f t="shared" si="4"/>
        <v>10</v>
      </c>
      <c r="G289" s="34">
        <v>9424</v>
      </c>
      <c r="H289" s="34" t="s">
        <v>197</v>
      </c>
      <c r="I289" s="35">
        <v>4.71</v>
      </c>
      <c r="J289" s="35"/>
      <c r="K289" s="35">
        <v>4.71</v>
      </c>
      <c r="L289" s="35">
        <v>-4.68</v>
      </c>
      <c r="M289" s="34" t="s">
        <v>782</v>
      </c>
    </row>
    <row r="290" spans="2:13" s="34" customFormat="1" ht="12.5" x14ac:dyDescent="0.25">
      <c r="B290" s="34">
        <v>201040206</v>
      </c>
      <c r="C290" s="34" t="s">
        <v>168</v>
      </c>
      <c r="D290" s="34" t="s">
        <v>412</v>
      </c>
      <c r="E290" s="34" t="s">
        <v>412</v>
      </c>
      <c r="F290" s="34">
        <f t="shared" si="4"/>
        <v>11</v>
      </c>
      <c r="G290" s="34">
        <v>9587</v>
      </c>
      <c r="H290" s="34" t="s">
        <v>704</v>
      </c>
      <c r="I290" s="35">
        <v>4.68</v>
      </c>
      <c r="J290" s="35"/>
      <c r="K290" s="35">
        <v>4.68</v>
      </c>
      <c r="L290" s="35">
        <v>0</v>
      </c>
      <c r="M290" s="34" t="s">
        <v>782</v>
      </c>
    </row>
    <row r="291" spans="2:13" s="34" customFormat="1" ht="12.5" x14ac:dyDescent="0.25">
      <c r="B291" s="34">
        <v>201040206</v>
      </c>
      <c r="C291" s="34" t="s">
        <v>168</v>
      </c>
      <c r="D291" s="34" t="s">
        <v>742</v>
      </c>
      <c r="E291" s="34" t="s">
        <v>742</v>
      </c>
      <c r="F291" s="34">
        <f t="shared" si="4"/>
        <v>11</v>
      </c>
      <c r="G291" s="34">
        <v>9532</v>
      </c>
      <c r="H291" s="34" t="s">
        <v>769</v>
      </c>
      <c r="I291" s="35"/>
      <c r="J291" s="35">
        <v>51.2</v>
      </c>
      <c r="K291" s="35">
        <v>-51.2</v>
      </c>
      <c r="L291" s="35">
        <v>-51.2</v>
      </c>
      <c r="M291" s="34" t="s">
        <v>779</v>
      </c>
    </row>
    <row r="292" spans="2:13" s="34" customFormat="1" ht="12.5" x14ac:dyDescent="0.25">
      <c r="B292" s="34">
        <v>201040206</v>
      </c>
      <c r="C292" s="34" t="s">
        <v>168</v>
      </c>
      <c r="D292" s="34" t="s">
        <v>706</v>
      </c>
      <c r="E292" s="34" t="s">
        <v>706</v>
      </c>
      <c r="F292" s="34">
        <f t="shared" si="4"/>
        <v>12</v>
      </c>
      <c r="G292" s="34">
        <v>9727</v>
      </c>
      <c r="H292" s="34" t="s">
        <v>707</v>
      </c>
      <c r="I292" s="35">
        <v>51.2</v>
      </c>
      <c r="J292" s="35"/>
      <c r="K292" s="35">
        <v>51.2</v>
      </c>
      <c r="L292" s="35">
        <v>0</v>
      </c>
      <c r="M292" s="34" t="s">
        <v>782</v>
      </c>
    </row>
    <row r="293" spans="2:13" s="34" customFormat="1" ht="12.5" x14ac:dyDescent="0.25">
      <c r="B293" s="34">
        <v>201040207</v>
      </c>
      <c r="C293" s="34" t="s">
        <v>770</v>
      </c>
      <c r="D293" s="34">
        <v>2021</v>
      </c>
      <c r="E293" s="34" t="s">
        <v>43</v>
      </c>
      <c r="F293" s="34">
        <f t="shared" si="4"/>
        <v>7</v>
      </c>
      <c r="H293" s="34" t="s">
        <v>770</v>
      </c>
      <c r="I293" s="35"/>
      <c r="J293" s="35"/>
      <c r="K293" s="35">
        <v>0</v>
      </c>
      <c r="L293" s="35">
        <v>0</v>
      </c>
      <c r="M293" s="34" t="s">
        <v>780</v>
      </c>
    </row>
    <row r="294" spans="2:13" s="34" customFormat="1" ht="12.5" x14ac:dyDescent="0.25">
      <c r="B294" s="34">
        <v>201040207</v>
      </c>
      <c r="C294" s="34" t="s">
        <v>770</v>
      </c>
      <c r="D294" s="34" t="s">
        <v>771</v>
      </c>
      <c r="E294" s="34" t="s">
        <v>771</v>
      </c>
      <c r="F294" s="34">
        <f t="shared" si="4"/>
        <v>12</v>
      </c>
      <c r="G294" s="34">
        <v>9686</v>
      </c>
      <c r="H294" s="34" t="s">
        <v>772</v>
      </c>
      <c r="I294" s="35"/>
      <c r="J294" s="35">
        <v>350</v>
      </c>
      <c r="K294" s="35">
        <v>-350</v>
      </c>
      <c r="L294" s="35">
        <v>-350</v>
      </c>
      <c r="M294" s="34" t="s">
        <v>779</v>
      </c>
    </row>
    <row r="295" spans="2:13" s="34" customFormat="1" ht="12.5" x14ac:dyDescent="0.25">
      <c r="B295" s="34">
        <v>201040209</v>
      </c>
      <c r="C295" s="34" t="s">
        <v>170</v>
      </c>
      <c r="D295" s="34">
        <v>2021</v>
      </c>
      <c r="E295" s="34" t="s">
        <v>43</v>
      </c>
      <c r="F295" s="34">
        <f t="shared" si="4"/>
        <v>7</v>
      </c>
      <c r="H295" s="34" t="s">
        <v>170</v>
      </c>
      <c r="I295" s="35"/>
      <c r="J295" s="35"/>
      <c r="K295" s="35">
        <v>-554</v>
      </c>
      <c r="L295" s="35">
        <v>-554</v>
      </c>
      <c r="M295" s="34" t="s">
        <v>780</v>
      </c>
    </row>
    <row r="296" spans="2:13" s="34" customFormat="1" ht="12.5" x14ac:dyDescent="0.25">
      <c r="B296" s="34">
        <v>201040209</v>
      </c>
      <c r="C296" s="34" t="s">
        <v>170</v>
      </c>
      <c r="D296" s="34" t="s">
        <v>50</v>
      </c>
      <c r="E296" s="34" t="s">
        <v>50</v>
      </c>
      <c r="F296" s="34">
        <f t="shared" si="4"/>
        <v>1</v>
      </c>
      <c r="G296" s="34">
        <v>8072</v>
      </c>
      <c r="H296" s="34" t="s">
        <v>209</v>
      </c>
      <c r="I296" s="35">
        <v>554</v>
      </c>
      <c r="J296" s="35"/>
      <c r="K296" s="35">
        <v>554</v>
      </c>
      <c r="L296" s="35">
        <v>0</v>
      </c>
      <c r="M296" s="34" t="s">
        <v>782</v>
      </c>
    </row>
    <row r="297" spans="2:13" s="34" customFormat="1" ht="12.5" x14ac:dyDescent="0.25">
      <c r="B297" s="34">
        <v>201040209</v>
      </c>
      <c r="C297" s="34" t="s">
        <v>170</v>
      </c>
      <c r="D297" s="34" t="s">
        <v>99</v>
      </c>
      <c r="E297" s="34" t="s">
        <v>99</v>
      </c>
      <c r="F297" s="34">
        <f t="shared" si="4"/>
        <v>1</v>
      </c>
      <c r="G297" s="34">
        <v>8560</v>
      </c>
      <c r="H297" s="34" t="s">
        <v>689</v>
      </c>
      <c r="I297" s="35"/>
      <c r="J297" s="35">
        <v>1214.93</v>
      </c>
      <c r="K297" s="35">
        <v>-1214.93</v>
      </c>
      <c r="L297" s="35">
        <v>-1214.93</v>
      </c>
      <c r="M297" s="34" t="s">
        <v>779</v>
      </c>
    </row>
    <row r="298" spans="2:13" s="34" customFormat="1" ht="12.5" x14ac:dyDescent="0.25">
      <c r="B298" s="34">
        <v>201040209</v>
      </c>
      <c r="C298" s="34" t="s">
        <v>170</v>
      </c>
      <c r="D298" s="34" t="s">
        <v>52</v>
      </c>
      <c r="E298" s="34" t="s">
        <v>52</v>
      </c>
      <c r="F298" s="34">
        <f t="shared" si="4"/>
        <v>2</v>
      </c>
      <c r="G298" s="34">
        <v>8312</v>
      </c>
      <c r="H298" s="34" t="s">
        <v>178</v>
      </c>
      <c r="I298" s="35">
        <v>1214.93</v>
      </c>
      <c r="J298" s="35"/>
      <c r="K298" s="35">
        <v>1214.93</v>
      </c>
      <c r="L298" s="35">
        <v>0</v>
      </c>
      <c r="M298" s="34" t="s">
        <v>782</v>
      </c>
    </row>
    <row r="299" spans="2:13" s="34" customFormat="1" ht="12.5" x14ac:dyDescent="0.25">
      <c r="B299" s="34">
        <v>201040209</v>
      </c>
      <c r="C299" s="34" t="s">
        <v>170</v>
      </c>
      <c r="D299" s="34" t="s">
        <v>467</v>
      </c>
      <c r="E299" s="34" t="s">
        <v>467</v>
      </c>
      <c r="F299" s="34">
        <f t="shared" si="4"/>
        <v>2</v>
      </c>
      <c r="G299" s="34">
        <v>8555</v>
      </c>
      <c r="H299" s="34" t="s">
        <v>690</v>
      </c>
      <c r="I299" s="35"/>
      <c r="J299" s="35">
        <v>1214.93</v>
      </c>
      <c r="K299" s="35">
        <v>-1214.93</v>
      </c>
      <c r="L299" s="35">
        <v>-1214.93</v>
      </c>
      <c r="M299" s="34" t="s">
        <v>779</v>
      </c>
    </row>
    <row r="300" spans="2:13" s="34" customFormat="1" ht="12.5" x14ac:dyDescent="0.25">
      <c r="B300" s="34">
        <v>201040209</v>
      </c>
      <c r="C300" s="34" t="s">
        <v>170</v>
      </c>
      <c r="D300" s="34" t="s">
        <v>69</v>
      </c>
      <c r="E300" s="34" t="s">
        <v>69</v>
      </c>
      <c r="F300" s="34">
        <f t="shared" si="4"/>
        <v>3</v>
      </c>
      <c r="G300" s="34">
        <v>8369</v>
      </c>
      <c r="H300" s="34" t="s">
        <v>180</v>
      </c>
      <c r="I300" s="35">
        <v>1214.93</v>
      </c>
      <c r="J300" s="35"/>
      <c r="K300" s="35">
        <v>1214.93</v>
      </c>
      <c r="L300" s="35">
        <v>0</v>
      </c>
      <c r="M300" s="34" t="s">
        <v>782</v>
      </c>
    </row>
    <row r="301" spans="2:13" s="34" customFormat="1" ht="12.5" x14ac:dyDescent="0.25">
      <c r="B301" s="34">
        <v>201040209</v>
      </c>
      <c r="C301" s="34" t="s">
        <v>170</v>
      </c>
      <c r="D301" s="34" t="s">
        <v>71</v>
      </c>
      <c r="E301" s="34" t="s">
        <v>71</v>
      </c>
      <c r="F301" s="34">
        <f t="shared" si="4"/>
        <v>3</v>
      </c>
      <c r="G301" s="34">
        <v>8557</v>
      </c>
      <c r="H301" s="34" t="s">
        <v>691</v>
      </c>
      <c r="I301" s="35"/>
      <c r="J301" s="35">
        <v>1214.93</v>
      </c>
      <c r="K301" s="35">
        <v>-1214.93</v>
      </c>
      <c r="L301" s="35">
        <v>-1214.93</v>
      </c>
      <c r="M301" s="34" t="s">
        <v>779</v>
      </c>
    </row>
    <row r="302" spans="2:13" s="34" customFormat="1" ht="12.5" x14ac:dyDescent="0.25">
      <c r="B302" s="34">
        <v>201040209</v>
      </c>
      <c r="C302" s="34" t="s">
        <v>170</v>
      </c>
      <c r="D302" s="34" t="s">
        <v>78</v>
      </c>
      <c r="E302" s="34" t="s">
        <v>78</v>
      </c>
      <c r="F302" s="34">
        <f t="shared" si="4"/>
        <v>4</v>
      </c>
      <c r="G302" s="34">
        <v>8572</v>
      </c>
      <c r="H302" s="34" t="s">
        <v>186</v>
      </c>
      <c r="I302" s="35">
        <v>1214.93</v>
      </c>
      <c r="J302" s="35"/>
      <c r="K302" s="35">
        <v>1214.93</v>
      </c>
      <c r="L302" s="35">
        <v>0</v>
      </c>
      <c r="M302" s="34" t="s">
        <v>782</v>
      </c>
    </row>
    <row r="303" spans="2:13" s="34" customFormat="1" ht="12.5" x14ac:dyDescent="0.25">
      <c r="B303" s="34">
        <v>201040209</v>
      </c>
      <c r="C303" s="34" t="s">
        <v>170</v>
      </c>
      <c r="D303" s="34" t="s">
        <v>81</v>
      </c>
      <c r="E303" s="34" t="s">
        <v>81</v>
      </c>
      <c r="F303" s="34">
        <f t="shared" si="4"/>
        <v>4</v>
      </c>
      <c r="G303" s="34">
        <v>8562</v>
      </c>
      <c r="H303" s="34" t="s">
        <v>692</v>
      </c>
      <c r="I303" s="35"/>
      <c r="J303" s="35">
        <v>2040.01</v>
      </c>
      <c r="K303" s="35">
        <v>-2040.01</v>
      </c>
      <c r="L303" s="35">
        <v>-2040.01</v>
      </c>
      <c r="M303" s="34" t="s">
        <v>779</v>
      </c>
    </row>
    <row r="304" spans="2:13" s="34" customFormat="1" ht="12.5" x14ac:dyDescent="0.25">
      <c r="B304" s="34">
        <v>201040209</v>
      </c>
      <c r="C304" s="34" t="s">
        <v>170</v>
      </c>
      <c r="D304" s="34" t="s">
        <v>86</v>
      </c>
      <c r="E304" s="34" t="s">
        <v>86</v>
      </c>
      <c r="F304" s="34">
        <f t="shared" si="4"/>
        <v>5</v>
      </c>
      <c r="G304" s="34">
        <v>8661</v>
      </c>
      <c r="H304" s="34" t="s">
        <v>187</v>
      </c>
      <c r="I304" s="35">
        <v>2040.01</v>
      </c>
      <c r="J304" s="35"/>
      <c r="K304" s="35">
        <v>2040.01</v>
      </c>
      <c r="L304" s="35">
        <v>0</v>
      </c>
      <c r="M304" s="34" t="s">
        <v>782</v>
      </c>
    </row>
    <row r="305" spans="2:13" s="34" customFormat="1" ht="12.5" x14ac:dyDescent="0.25">
      <c r="B305" s="34">
        <v>201040209</v>
      </c>
      <c r="C305" s="34" t="s">
        <v>170</v>
      </c>
      <c r="D305" s="34" t="s">
        <v>157</v>
      </c>
      <c r="E305" s="34" t="s">
        <v>157</v>
      </c>
      <c r="F305" s="34">
        <f t="shared" si="4"/>
        <v>5</v>
      </c>
      <c r="G305" s="34">
        <v>8714</v>
      </c>
      <c r="H305" s="34" t="s">
        <v>693</v>
      </c>
      <c r="I305" s="35"/>
      <c r="J305" s="35">
        <v>2040.01</v>
      </c>
      <c r="K305" s="35">
        <v>-2040.01</v>
      </c>
      <c r="L305" s="35">
        <v>-2040.01</v>
      </c>
      <c r="M305" s="34" t="s">
        <v>779</v>
      </c>
    </row>
    <row r="306" spans="2:13" s="34" customFormat="1" ht="12.5" x14ac:dyDescent="0.25">
      <c r="B306" s="34">
        <v>201040209</v>
      </c>
      <c r="C306" s="34" t="s">
        <v>170</v>
      </c>
      <c r="D306" s="34" t="s">
        <v>230</v>
      </c>
      <c r="E306" s="34" t="s">
        <v>230</v>
      </c>
      <c r="F306" s="34">
        <f t="shared" si="4"/>
        <v>6</v>
      </c>
      <c r="G306" s="34">
        <v>8886</v>
      </c>
      <c r="H306" s="34" t="s">
        <v>231</v>
      </c>
      <c r="I306" s="35">
        <v>2040.01</v>
      </c>
      <c r="J306" s="35"/>
      <c r="K306" s="35">
        <v>2040.01</v>
      </c>
      <c r="L306" s="35">
        <v>0</v>
      </c>
      <c r="M306" s="34" t="s">
        <v>782</v>
      </c>
    </row>
    <row r="307" spans="2:13" s="34" customFormat="1" ht="12.5" x14ac:dyDescent="0.25">
      <c r="B307" s="34">
        <v>201040209</v>
      </c>
      <c r="C307" s="34" t="s">
        <v>170</v>
      </c>
      <c r="D307" s="34" t="s">
        <v>93</v>
      </c>
      <c r="E307" s="34" t="s">
        <v>93</v>
      </c>
      <c r="F307" s="34">
        <f t="shared" si="4"/>
        <v>6</v>
      </c>
      <c r="G307" s="34">
        <v>8984</v>
      </c>
      <c r="H307" s="34" t="s">
        <v>694</v>
      </c>
      <c r="I307" s="35"/>
      <c r="J307" s="35">
        <v>2040</v>
      </c>
      <c r="K307" s="35">
        <v>-2040</v>
      </c>
      <c r="L307" s="35">
        <v>-2040</v>
      </c>
      <c r="M307" s="34" t="s">
        <v>779</v>
      </c>
    </row>
    <row r="308" spans="2:13" s="34" customFormat="1" ht="12.5" x14ac:dyDescent="0.25">
      <c r="B308" s="34">
        <v>201040209</v>
      </c>
      <c r="C308" s="34" t="s">
        <v>170</v>
      </c>
      <c r="D308" s="34" t="s">
        <v>95</v>
      </c>
      <c r="E308" s="34" t="s">
        <v>95</v>
      </c>
      <c r="F308" s="34">
        <f t="shared" si="4"/>
        <v>7</v>
      </c>
      <c r="G308" s="34">
        <v>8987</v>
      </c>
      <c r="H308" s="34" t="s">
        <v>234</v>
      </c>
      <c r="I308" s="35">
        <v>2040</v>
      </c>
      <c r="J308" s="35"/>
      <c r="K308" s="35">
        <v>2040</v>
      </c>
      <c r="L308" s="35">
        <v>0</v>
      </c>
      <c r="M308" s="34" t="s">
        <v>782</v>
      </c>
    </row>
    <row r="309" spans="2:13" s="34" customFormat="1" ht="12.5" x14ac:dyDescent="0.25">
      <c r="B309" s="34">
        <v>201040209</v>
      </c>
      <c r="C309" s="34" t="s">
        <v>170</v>
      </c>
      <c r="D309" s="34" t="s">
        <v>137</v>
      </c>
      <c r="E309" s="34" t="s">
        <v>137</v>
      </c>
      <c r="F309" s="34">
        <f t="shared" si="4"/>
        <v>7</v>
      </c>
      <c r="G309" s="34">
        <v>8985</v>
      </c>
      <c r="H309" s="34" t="s">
        <v>695</v>
      </c>
      <c r="I309" s="35"/>
      <c r="J309" s="35">
        <v>2040.01</v>
      </c>
      <c r="K309" s="35">
        <v>-2040.01</v>
      </c>
      <c r="L309" s="35">
        <v>-2040.01</v>
      </c>
      <c r="M309" s="34" t="s">
        <v>779</v>
      </c>
    </row>
    <row r="310" spans="2:13" s="34" customFormat="1" ht="12.5" x14ac:dyDescent="0.25">
      <c r="B310" s="34">
        <v>201040209</v>
      </c>
      <c r="C310" s="34" t="s">
        <v>170</v>
      </c>
      <c r="D310" s="34" t="s">
        <v>96</v>
      </c>
      <c r="E310" s="34" t="s">
        <v>96</v>
      </c>
      <c r="F310" s="34">
        <f t="shared" si="4"/>
        <v>8</v>
      </c>
      <c r="G310" s="34">
        <v>9152</v>
      </c>
      <c r="H310" s="34" t="s">
        <v>192</v>
      </c>
      <c r="I310" s="35">
        <v>2040.01</v>
      </c>
      <c r="J310" s="35"/>
      <c r="K310" s="35">
        <v>2040.01</v>
      </c>
      <c r="L310" s="35">
        <v>0</v>
      </c>
      <c r="M310" s="34" t="s">
        <v>782</v>
      </c>
    </row>
    <row r="311" spans="2:13" s="34" customFormat="1" ht="12.5" x14ac:dyDescent="0.25">
      <c r="B311" s="34">
        <v>201040209</v>
      </c>
      <c r="C311" s="34" t="s">
        <v>170</v>
      </c>
      <c r="D311" s="34" t="s">
        <v>139</v>
      </c>
      <c r="E311" s="34" t="s">
        <v>139</v>
      </c>
      <c r="F311" s="34">
        <f t="shared" si="4"/>
        <v>8</v>
      </c>
      <c r="G311" s="34">
        <v>9193</v>
      </c>
      <c r="H311" s="34" t="s">
        <v>696</v>
      </c>
      <c r="I311" s="35"/>
      <c r="J311" s="35">
        <v>2065.98</v>
      </c>
      <c r="K311" s="35">
        <v>-2065.98</v>
      </c>
      <c r="L311" s="35">
        <v>-2065.98</v>
      </c>
      <c r="M311" s="34" t="s">
        <v>779</v>
      </c>
    </row>
    <row r="312" spans="2:13" s="34" customFormat="1" ht="12.5" x14ac:dyDescent="0.25">
      <c r="B312" s="34">
        <v>201040209</v>
      </c>
      <c r="C312" s="34" t="s">
        <v>170</v>
      </c>
      <c r="D312" s="34" t="s">
        <v>123</v>
      </c>
      <c r="E312" s="34" t="s">
        <v>123</v>
      </c>
      <c r="F312" s="34">
        <f t="shared" si="4"/>
        <v>9</v>
      </c>
      <c r="G312" s="34">
        <v>9284</v>
      </c>
      <c r="H312" s="34" t="s">
        <v>195</v>
      </c>
      <c r="I312" s="35">
        <v>2065.98</v>
      </c>
      <c r="J312" s="35"/>
      <c r="K312" s="35">
        <v>2065.98</v>
      </c>
      <c r="L312" s="35">
        <v>0</v>
      </c>
      <c r="M312" s="34" t="s">
        <v>782</v>
      </c>
    </row>
    <row r="313" spans="2:13" s="34" customFormat="1" ht="12.5" x14ac:dyDescent="0.25">
      <c r="B313" s="34">
        <v>201040209</v>
      </c>
      <c r="C313" s="34" t="s">
        <v>170</v>
      </c>
      <c r="D313" s="34" t="s">
        <v>125</v>
      </c>
      <c r="E313" s="34" t="s">
        <v>125</v>
      </c>
      <c r="F313" s="34">
        <f t="shared" si="4"/>
        <v>9</v>
      </c>
      <c r="G313" s="34">
        <v>9325</v>
      </c>
      <c r="H313" s="34" t="s">
        <v>697</v>
      </c>
      <c r="I313" s="35"/>
      <c r="J313" s="35">
        <v>2040.01</v>
      </c>
      <c r="K313" s="35">
        <v>-2040.01</v>
      </c>
      <c r="L313" s="35">
        <v>-2040.01</v>
      </c>
      <c r="M313" s="34" t="s">
        <v>779</v>
      </c>
    </row>
    <row r="314" spans="2:13" s="34" customFormat="1" ht="12.5" x14ac:dyDescent="0.25">
      <c r="B314" s="34">
        <v>201040209</v>
      </c>
      <c r="C314" s="34" t="s">
        <v>170</v>
      </c>
      <c r="D314" s="34" t="s">
        <v>126</v>
      </c>
      <c r="E314" s="34" t="s">
        <v>126</v>
      </c>
      <c r="F314" s="34">
        <f t="shared" si="4"/>
        <v>10</v>
      </c>
      <c r="G314" s="34">
        <v>9424</v>
      </c>
      <c r="H314" s="34" t="s">
        <v>197</v>
      </c>
      <c r="I314" s="35">
        <v>2040.01</v>
      </c>
      <c r="J314" s="35"/>
      <c r="K314" s="35">
        <v>2040.01</v>
      </c>
      <c r="L314" s="35">
        <v>0</v>
      </c>
      <c r="M314" s="34" t="s">
        <v>782</v>
      </c>
    </row>
    <row r="315" spans="2:13" s="34" customFormat="1" ht="12.5" x14ac:dyDescent="0.25">
      <c r="B315" s="34">
        <v>201040209</v>
      </c>
      <c r="C315" s="34" t="s">
        <v>170</v>
      </c>
      <c r="D315" s="34" t="s">
        <v>124</v>
      </c>
      <c r="E315" s="34" t="s">
        <v>124</v>
      </c>
      <c r="F315" s="34">
        <f t="shared" si="4"/>
        <v>10</v>
      </c>
      <c r="G315" s="34">
        <v>9475</v>
      </c>
      <c r="H315" s="34" t="s">
        <v>698</v>
      </c>
      <c r="I315" s="35"/>
      <c r="J315" s="35">
        <v>2106.7600000000002</v>
      </c>
      <c r="K315" s="35">
        <v>-2106.7600000000002</v>
      </c>
      <c r="L315" s="35">
        <v>-2106.7600000000002</v>
      </c>
      <c r="M315" s="34" t="s">
        <v>779</v>
      </c>
    </row>
    <row r="316" spans="2:13" s="34" customFormat="1" ht="12.5" x14ac:dyDescent="0.25">
      <c r="B316" s="34">
        <v>201040209</v>
      </c>
      <c r="C316" s="34" t="s">
        <v>170</v>
      </c>
      <c r="D316" s="34" t="s">
        <v>412</v>
      </c>
      <c r="E316" s="34" t="s">
        <v>412</v>
      </c>
      <c r="F316" s="34">
        <f t="shared" si="4"/>
        <v>11</v>
      </c>
      <c r="G316" s="34">
        <v>9587</v>
      </c>
      <c r="H316" s="34" t="s">
        <v>704</v>
      </c>
      <c r="I316" s="35">
        <v>2106.7600000000002</v>
      </c>
      <c r="J316" s="35"/>
      <c r="K316" s="35">
        <v>2106.7600000000002</v>
      </c>
      <c r="L316" s="35">
        <v>0</v>
      </c>
      <c r="M316" s="34" t="s">
        <v>782</v>
      </c>
    </row>
    <row r="317" spans="2:13" s="34" customFormat="1" ht="12.5" x14ac:dyDescent="0.25">
      <c r="B317" s="34">
        <v>201040209</v>
      </c>
      <c r="C317" s="34" t="s">
        <v>170</v>
      </c>
      <c r="D317" s="34" t="s">
        <v>773</v>
      </c>
      <c r="E317" s="34" t="s">
        <v>773</v>
      </c>
      <c r="F317" s="34">
        <f t="shared" si="4"/>
        <v>11</v>
      </c>
      <c r="G317" s="34">
        <v>9671</v>
      </c>
      <c r="H317" s="34" t="s">
        <v>774</v>
      </c>
      <c r="I317" s="35"/>
      <c r="J317" s="35">
        <v>2112.81</v>
      </c>
      <c r="K317" s="35">
        <v>-2112.81</v>
      </c>
      <c r="L317" s="35">
        <v>-2112.81</v>
      </c>
      <c r="M317" s="34" t="s">
        <v>779</v>
      </c>
    </row>
    <row r="318" spans="2:13" s="34" customFormat="1" ht="12.5" x14ac:dyDescent="0.25">
      <c r="B318" s="34">
        <v>201040209</v>
      </c>
      <c r="C318" s="34" t="s">
        <v>170</v>
      </c>
      <c r="D318" s="34" t="s">
        <v>706</v>
      </c>
      <c r="E318" s="34" t="s">
        <v>706</v>
      </c>
      <c r="F318" s="34">
        <f t="shared" si="4"/>
        <v>12</v>
      </c>
      <c r="G318" s="34">
        <v>9727</v>
      </c>
      <c r="H318" s="34" t="s">
        <v>707</v>
      </c>
      <c r="I318" s="35">
        <v>2112.81</v>
      </c>
      <c r="J318" s="35"/>
      <c r="K318" s="35">
        <v>2112.81</v>
      </c>
      <c r="L318" s="35">
        <v>0</v>
      </c>
      <c r="M318" s="34" t="s">
        <v>782</v>
      </c>
    </row>
    <row r="319" spans="2:13" s="34" customFormat="1" ht="12.5" x14ac:dyDescent="0.25">
      <c r="B319" s="34">
        <v>201040209</v>
      </c>
      <c r="C319" s="34" t="s">
        <v>170</v>
      </c>
      <c r="D319" s="34" t="s">
        <v>755</v>
      </c>
      <c r="E319" s="34" t="s">
        <v>755</v>
      </c>
      <c r="F319" s="34">
        <f t="shared" ref="F319" si="5">MONTH(D319)</f>
        <v>12</v>
      </c>
      <c r="G319" s="34">
        <v>9823</v>
      </c>
      <c r="H319" s="34" t="s">
        <v>775</v>
      </c>
      <c r="I319" s="35"/>
      <c r="J319" s="35">
        <v>2093.48</v>
      </c>
      <c r="K319" s="35">
        <v>-2093.48</v>
      </c>
      <c r="L319" s="35">
        <v>-2093.48</v>
      </c>
      <c r="M319" s="34" t="s">
        <v>779</v>
      </c>
    </row>
    <row r="320" spans="2:13" s="31" customFormat="1" ht="12.5" x14ac:dyDescent="0.25">
      <c r="B320" s="34">
        <v>201040204</v>
      </c>
      <c r="C320" s="34" t="s">
        <v>44</v>
      </c>
      <c r="D320" s="34">
        <v>2021</v>
      </c>
      <c r="E320" s="34" t="s">
        <v>43</v>
      </c>
      <c r="F320" s="34"/>
      <c r="G320" s="34"/>
      <c r="H320" s="34" t="s">
        <v>44</v>
      </c>
      <c r="I320" s="35"/>
      <c r="J320" s="35"/>
      <c r="K320" s="35">
        <v>0</v>
      </c>
      <c r="L320" s="35">
        <v>0</v>
      </c>
      <c r="M320" s="31" t="s">
        <v>780</v>
      </c>
    </row>
    <row r="321" spans="2:13" s="31" customFormat="1" ht="12.5" x14ac:dyDescent="0.25">
      <c r="B321" s="34">
        <v>201040204</v>
      </c>
      <c r="C321" s="34" t="s">
        <v>44</v>
      </c>
      <c r="D321" s="34" t="s">
        <v>46</v>
      </c>
      <c r="E321" s="34" t="s">
        <v>46</v>
      </c>
      <c r="F321" s="34">
        <f t="shared" ref="F321:F347" si="6">MONTH(D321)</f>
        <v>1</v>
      </c>
      <c r="G321" s="34">
        <v>7942</v>
      </c>
      <c r="H321" s="34" t="s">
        <v>173</v>
      </c>
      <c r="I321" s="35"/>
      <c r="J321" s="35">
        <v>1.3</v>
      </c>
      <c r="K321" s="35">
        <v>-1.3</v>
      </c>
      <c r="L321" s="35">
        <v>-1.3</v>
      </c>
      <c r="M321" s="31" t="s">
        <v>779</v>
      </c>
    </row>
    <row r="322" spans="2:13" s="31" customFormat="1" ht="12.5" x14ac:dyDescent="0.25">
      <c r="B322" s="34">
        <v>201040204</v>
      </c>
      <c r="C322" s="34" t="s">
        <v>44</v>
      </c>
      <c r="D322" s="34" t="s">
        <v>127</v>
      </c>
      <c r="E322" s="34" t="s">
        <v>127</v>
      </c>
      <c r="F322" s="34">
        <f t="shared" si="6"/>
        <v>1</v>
      </c>
      <c r="G322" s="34">
        <v>8000</v>
      </c>
      <c r="H322" s="34" t="s">
        <v>174</v>
      </c>
      <c r="I322" s="35"/>
      <c r="J322" s="35">
        <v>2.04</v>
      </c>
      <c r="K322" s="35">
        <v>-2.04</v>
      </c>
      <c r="L322" s="35">
        <v>-3.34</v>
      </c>
      <c r="M322" s="31" t="s">
        <v>779</v>
      </c>
    </row>
    <row r="323" spans="2:13" s="31" customFormat="1" ht="12.5" x14ac:dyDescent="0.25">
      <c r="B323" s="34">
        <v>201040204</v>
      </c>
      <c r="C323" s="34" t="s">
        <v>44</v>
      </c>
      <c r="D323" s="34" t="s">
        <v>175</v>
      </c>
      <c r="E323" s="34" t="s">
        <v>175</v>
      </c>
      <c r="F323" s="34">
        <f t="shared" si="6"/>
        <v>2</v>
      </c>
      <c r="G323" s="34">
        <v>8059</v>
      </c>
      <c r="H323" s="34" t="s">
        <v>176</v>
      </c>
      <c r="I323" s="35"/>
      <c r="J323" s="35">
        <v>8.01</v>
      </c>
      <c r="K323" s="35">
        <v>-8.01</v>
      </c>
      <c r="L323" s="35">
        <v>-11.35</v>
      </c>
      <c r="M323" s="31" t="s">
        <v>779</v>
      </c>
    </row>
    <row r="324" spans="2:13" s="31" customFormat="1" ht="12.5" x14ac:dyDescent="0.25">
      <c r="B324" s="34">
        <v>201040204</v>
      </c>
      <c r="C324" s="34" t="s">
        <v>44</v>
      </c>
      <c r="D324" s="34" t="s">
        <v>64</v>
      </c>
      <c r="E324" s="34" t="s">
        <v>64</v>
      </c>
      <c r="F324" s="34">
        <f t="shared" si="6"/>
        <v>2</v>
      </c>
      <c r="G324" s="34">
        <v>8093</v>
      </c>
      <c r="H324" s="34" t="s">
        <v>177</v>
      </c>
      <c r="I324" s="35"/>
      <c r="J324" s="35">
        <v>1.43</v>
      </c>
      <c r="K324" s="35">
        <v>-1.43</v>
      </c>
      <c r="L324" s="35">
        <v>-12.78</v>
      </c>
      <c r="M324" s="31" t="s">
        <v>779</v>
      </c>
    </row>
    <row r="325" spans="2:13" s="31" customFormat="1" ht="12.5" x14ac:dyDescent="0.25">
      <c r="B325" s="34">
        <v>201040204</v>
      </c>
      <c r="C325" s="34" t="s">
        <v>44</v>
      </c>
      <c r="D325" s="34" t="s">
        <v>52</v>
      </c>
      <c r="E325" s="34" t="s">
        <v>52</v>
      </c>
      <c r="F325" s="34">
        <f t="shared" si="6"/>
        <v>2</v>
      </c>
      <c r="G325" s="34">
        <v>8312</v>
      </c>
      <c r="H325" s="34" t="s">
        <v>178</v>
      </c>
      <c r="I325" s="35">
        <v>3.34</v>
      </c>
      <c r="J325" s="35"/>
      <c r="K325" s="35">
        <v>3.34</v>
      </c>
      <c r="L325" s="35">
        <v>-9.44</v>
      </c>
      <c r="M325" s="31" t="s">
        <v>782</v>
      </c>
    </row>
    <row r="326" spans="2:13" s="31" customFormat="1" ht="12.5" x14ac:dyDescent="0.25">
      <c r="B326" s="34">
        <v>201040204</v>
      </c>
      <c r="C326" s="34" t="s">
        <v>44</v>
      </c>
      <c r="D326" s="34" t="s">
        <v>102</v>
      </c>
      <c r="E326" s="34" t="s">
        <v>102</v>
      </c>
      <c r="F326" s="34">
        <f t="shared" si="6"/>
        <v>3</v>
      </c>
      <c r="G326" s="34">
        <v>8284</v>
      </c>
      <c r="H326" s="34" t="s">
        <v>179</v>
      </c>
      <c r="I326" s="35"/>
      <c r="J326" s="35">
        <v>4</v>
      </c>
      <c r="K326" s="35">
        <v>-4</v>
      </c>
      <c r="L326" s="35">
        <v>-13.44</v>
      </c>
      <c r="M326" s="31" t="s">
        <v>779</v>
      </c>
    </row>
    <row r="327" spans="2:13" s="31" customFormat="1" ht="12.5" x14ac:dyDescent="0.25">
      <c r="B327" s="34">
        <v>201040204</v>
      </c>
      <c r="C327" s="34" t="s">
        <v>44</v>
      </c>
      <c r="D327" s="34" t="s">
        <v>69</v>
      </c>
      <c r="E327" s="34" t="s">
        <v>69</v>
      </c>
      <c r="F327" s="34">
        <f t="shared" si="6"/>
        <v>3</v>
      </c>
      <c r="G327" s="34">
        <v>8369</v>
      </c>
      <c r="H327" s="34" t="s">
        <v>180</v>
      </c>
      <c r="I327" s="35">
        <v>9.44</v>
      </c>
      <c r="J327" s="35"/>
      <c r="K327" s="35">
        <v>9.44</v>
      </c>
      <c r="L327" s="35">
        <v>-4</v>
      </c>
      <c r="M327" s="31" t="s">
        <v>782</v>
      </c>
    </row>
    <row r="328" spans="2:13" s="31" customFormat="1" ht="12.5" x14ac:dyDescent="0.25">
      <c r="B328" s="34">
        <v>201040204</v>
      </c>
      <c r="C328" s="34" t="s">
        <v>44</v>
      </c>
      <c r="D328" s="34" t="s">
        <v>181</v>
      </c>
      <c r="E328" s="34" t="s">
        <v>181</v>
      </c>
      <c r="F328" s="34">
        <f t="shared" si="6"/>
        <v>3</v>
      </c>
      <c r="G328" s="34">
        <v>8294</v>
      </c>
      <c r="H328" s="34" t="s">
        <v>182</v>
      </c>
      <c r="I328" s="35"/>
      <c r="J328" s="35">
        <v>2.13</v>
      </c>
      <c r="K328" s="35">
        <v>-2.13</v>
      </c>
      <c r="L328" s="35">
        <v>-6.13</v>
      </c>
      <c r="M328" s="31" t="s">
        <v>779</v>
      </c>
    </row>
    <row r="329" spans="2:13" s="31" customFormat="1" ht="12.5" x14ac:dyDescent="0.25">
      <c r="B329" s="34">
        <v>201040204</v>
      </c>
      <c r="C329" s="34" t="s">
        <v>44</v>
      </c>
      <c r="D329" s="34" t="s">
        <v>101</v>
      </c>
      <c r="E329" s="34" t="s">
        <v>101</v>
      </c>
      <c r="F329" s="34">
        <f t="shared" si="6"/>
        <v>4</v>
      </c>
      <c r="G329" s="34">
        <v>8416</v>
      </c>
      <c r="H329" s="34" t="s">
        <v>183</v>
      </c>
      <c r="I329" s="35"/>
      <c r="J329" s="35">
        <v>0.43</v>
      </c>
      <c r="K329" s="35">
        <v>-0.43</v>
      </c>
      <c r="L329" s="35">
        <v>-6.56</v>
      </c>
      <c r="M329" s="31" t="s">
        <v>779</v>
      </c>
    </row>
    <row r="330" spans="2:13" s="31" customFormat="1" ht="12.5" x14ac:dyDescent="0.25">
      <c r="B330" s="34">
        <v>201040204</v>
      </c>
      <c r="C330" s="34" t="s">
        <v>44</v>
      </c>
      <c r="D330" s="34" t="s">
        <v>76</v>
      </c>
      <c r="E330" s="34" t="s">
        <v>76</v>
      </c>
      <c r="F330" s="34">
        <f t="shared" si="6"/>
        <v>4</v>
      </c>
      <c r="G330" s="34">
        <v>8378</v>
      </c>
      <c r="H330" s="34" t="s">
        <v>184</v>
      </c>
      <c r="I330" s="35"/>
      <c r="J330" s="35">
        <v>5.0999999999999996</v>
      </c>
      <c r="K330" s="35">
        <v>-5.0999999999999996</v>
      </c>
      <c r="L330" s="35">
        <v>-11.66</v>
      </c>
      <c r="M330" s="31" t="s">
        <v>779</v>
      </c>
    </row>
    <row r="331" spans="2:13" s="31" customFormat="1" ht="12.5" x14ac:dyDescent="0.25">
      <c r="B331" s="34">
        <v>201040204</v>
      </c>
      <c r="C331" s="34" t="s">
        <v>44</v>
      </c>
      <c r="D331" s="34" t="s">
        <v>76</v>
      </c>
      <c r="E331" s="34" t="s">
        <v>76</v>
      </c>
      <c r="F331" s="34">
        <f t="shared" si="6"/>
        <v>4</v>
      </c>
      <c r="G331" s="34">
        <v>8379</v>
      </c>
      <c r="H331" s="34" t="s">
        <v>185</v>
      </c>
      <c r="I331" s="35"/>
      <c r="J331" s="35">
        <v>8.9600000000000009</v>
      </c>
      <c r="K331" s="35">
        <v>-8.9600000000000009</v>
      </c>
      <c r="L331" s="35">
        <v>-20.62</v>
      </c>
      <c r="M331" s="31" t="s">
        <v>779</v>
      </c>
    </row>
    <row r="332" spans="2:13" s="31" customFormat="1" ht="12.5" x14ac:dyDescent="0.25">
      <c r="B332" s="34">
        <v>201040204</v>
      </c>
      <c r="C332" s="34" t="s">
        <v>44</v>
      </c>
      <c r="D332" s="34" t="s">
        <v>78</v>
      </c>
      <c r="E332" s="34" t="s">
        <v>78</v>
      </c>
      <c r="F332" s="34">
        <f t="shared" si="6"/>
        <v>4</v>
      </c>
      <c r="G332" s="34">
        <v>8572</v>
      </c>
      <c r="H332" s="34" t="s">
        <v>186</v>
      </c>
      <c r="I332" s="35">
        <v>6.13</v>
      </c>
      <c r="J332" s="35"/>
      <c r="K332" s="35">
        <v>6.13</v>
      </c>
      <c r="L332" s="35">
        <v>-14.49</v>
      </c>
      <c r="M332" s="31" t="s">
        <v>782</v>
      </c>
    </row>
    <row r="333" spans="2:13" s="31" customFormat="1" ht="12.5" x14ac:dyDescent="0.25">
      <c r="B333" s="34">
        <v>201040204</v>
      </c>
      <c r="C333" s="34" t="s">
        <v>44</v>
      </c>
      <c r="D333" s="34" t="s">
        <v>86</v>
      </c>
      <c r="E333" s="34" t="s">
        <v>86</v>
      </c>
      <c r="F333" s="34">
        <f t="shared" si="6"/>
        <v>5</v>
      </c>
      <c r="G333" s="34">
        <v>8661</v>
      </c>
      <c r="H333" s="34" t="s">
        <v>187</v>
      </c>
      <c r="I333" s="35">
        <v>14.49</v>
      </c>
      <c r="J333" s="35"/>
      <c r="K333" s="35">
        <v>14.49</v>
      </c>
      <c r="L333" s="35">
        <v>0</v>
      </c>
      <c r="M333" s="31" t="s">
        <v>782</v>
      </c>
    </row>
    <row r="334" spans="2:13" s="31" customFormat="1" ht="12.5" x14ac:dyDescent="0.25">
      <c r="B334" s="34">
        <v>201040204</v>
      </c>
      <c r="C334" s="34" t="s">
        <v>44</v>
      </c>
      <c r="D334" s="34" t="s">
        <v>134</v>
      </c>
      <c r="E334" s="34" t="s">
        <v>134</v>
      </c>
      <c r="F334" s="34">
        <f t="shared" si="6"/>
        <v>7</v>
      </c>
      <c r="G334" s="34">
        <v>8799</v>
      </c>
      <c r="H334" s="34" t="s">
        <v>188</v>
      </c>
      <c r="I334" s="35"/>
      <c r="J334" s="35">
        <v>2.0699999999999998</v>
      </c>
      <c r="K334" s="35">
        <v>-2.0699999999999998</v>
      </c>
      <c r="L334" s="35">
        <v>-2.0699999999999998</v>
      </c>
      <c r="M334" s="31" t="s">
        <v>779</v>
      </c>
    </row>
    <row r="335" spans="2:13" s="31" customFormat="1" ht="12.5" x14ac:dyDescent="0.25">
      <c r="B335" s="34">
        <v>201040204</v>
      </c>
      <c r="C335" s="34" t="s">
        <v>44</v>
      </c>
      <c r="D335" s="34" t="s">
        <v>134</v>
      </c>
      <c r="E335" s="34" t="s">
        <v>134</v>
      </c>
      <c r="F335" s="34">
        <f t="shared" si="6"/>
        <v>7</v>
      </c>
      <c r="G335" s="34">
        <v>8800</v>
      </c>
      <c r="H335" s="34" t="s">
        <v>189</v>
      </c>
      <c r="I335" s="35"/>
      <c r="J335" s="35">
        <v>0.49</v>
      </c>
      <c r="K335" s="35">
        <v>-0.49</v>
      </c>
      <c r="L335" s="35">
        <v>-2.56</v>
      </c>
      <c r="M335" s="31" t="s">
        <v>779</v>
      </c>
    </row>
    <row r="336" spans="2:13" s="31" customFormat="1" ht="12.5" x14ac:dyDescent="0.25">
      <c r="B336" s="34">
        <v>201040204</v>
      </c>
      <c r="C336" s="34" t="s">
        <v>44</v>
      </c>
      <c r="D336" s="34" t="s">
        <v>134</v>
      </c>
      <c r="E336" s="34" t="s">
        <v>134</v>
      </c>
      <c r="F336" s="34">
        <f t="shared" si="6"/>
        <v>7</v>
      </c>
      <c r="G336" s="34">
        <v>8905</v>
      </c>
      <c r="H336" s="34" t="s">
        <v>190</v>
      </c>
      <c r="I336" s="35"/>
      <c r="J336" s="35">
        <v>10</v>
      </c>
      <c r="K336" s="35">
        <v>-10</v>
      </c>
      <c r="L336" s="35">
        <v>-12.56</v>
      </c>
      <c r="M336" s="31" t="s">
        <v>779</v>
      </c>
    </row>
    <row r="337" spans="2:13" s="31" customFormat="1" ht="12.5" x14ac:dyDescent="0.25">
      <c r="B337" s="34">
        <v>201040204</v>
      </c>
      <c r="C337" s="34" t="s">
        <v>44</v>
      </c>
      <c r="D337" s="34" t="s">
        <v>118</v>
      </c>
      <c r="E337" s="34" t="s">
        <v>118</v>
      </c>
      <c r="F337" s="34">
        <f t="shared" si="6"/>
        <v>8</v>
      </c>
      <c r="G337" s="34">
        <v>9013</v>
      </c>
      <c r="H337" s="34" t="s">
        <v>191</v>
      </c>
      <c r="I337" s="35"/>
      <c r="J337" s="35">
        <v>1.69</v>
      </c>
      <c r="K337" s="35">
        <v>-1.69</v>
      </c>
      <c r="L337" s="35">
        <v>-14.25</v>
      </c>
      <c r="M337" s="31" t="s">
        <v>779</v>
      </c>
    </row>
    <row r="338" spans="2:13" s="31" customFormat="1" ht="12.5" x14ac:dyDescent="0.25">
      <c r="B338" s="34">
        <v>201040204</v>
      </c>
      <c r="C338" s="34" t="s">
        <v>44</v>
      </c>
      <c r="D338" s="34" t="s">
        <v>96</v>
      </c>
      <c r="E338" s="34" t="s">
        <v>96</v>
      </c>
      <c r="F338" s="34">
        <f t="shared" si="6"/>
        <v>8</v>
      </c>
      <c r="G338" s="34">
        <v>9152</v>
      </c>
      <c r="H338" s="34" t="s">
        <v>192</v>
      </c>
      <c r="I338" s="35">
        <v>12.56</v>
      </c>
      <c r="J338" s="35"/>
      <c r="K338" s="35">
        <v>12.56</v>
      </c>
      <c r="L338" s="35">
        <v>-1.69</v>
      </c>
      <c r="M338" s="31" t="s">
        <v>782</v>
      </c>
    </row>
    <row r="339" spans="2:13" s="31" customFormat="1" ht="12.5" x14ac:dyDescent="0.25">
      <c r="B339" s="34">
        <v>201040204</v>
      </c>
      <c r="C339" s="34" t="s">
        <v>44</v>
      </c>
      <c r="D339" s="34" t="s">
        <v>193</v>
      </c>
      <c r="E339" s="34" t="s">
        <v>193</v>
      </c>
      <c r="F339" s="34">
        <f t="shared" si="6"/>
        <v>9</v>
      </c>
      <c r="G339" s="34">
        <v>9238</v>
      </c>
      <c r="H339" s="34" t="s">
        <v>194</v>
      </c>
      <c r="I339" s="35"/>
      <c r="J339" s="35">
        <v>16.45</v>
      </c>
      <c r="K339" s="35">
        <v>-16.45</v>
      </c>
      <c r="L339" s="35">
        <v>-18.14</v>
      </c>
      <c r="M339" s="31" t="s">
        <v>779</v>
      </c>
    </row>
    <row r="340" spans="2:13" s="31" customFormat="1" ht="12.5" x14ac:dyDescent="0.25">
      <c r="B340" s="34">
        <v>201040204</v>
      </c>
      <c r="C340" s="34" t="s">
        <v>44</v>
      </c>
      <c r="D340" s="34" t="s">
        <v>123</v>
      </c>
      <c r="E340" s="34" t="s">
        <v>123</v>
      </c>
      <c r="F340" s="34">
        <f t="shared" si="6"/>
        <v>9</v>
      </c>
      <c r="G340" s="34">
        <v>9284</v>
      </c>
      <c r="H340" s="34" t="s">
        <v>195</v>
      </c>
      <c r="I340" s="35">
        <v>1.69</v>
      </c>
      <c r="J340" s="35"/>
      <c r="K340" s="35">
        <v>1.69</v>
      </c>
      <c r="L340" s="35">
        <v>-16.45</v>
      </c>
      <c r="M340" s="31" t="s">
        <v>782</v>
      </c>
    </row>
    <row r="341" spans="2:13" s="31" customFormat="1" ht="12.5" x14ac:dyDescent="0.25">
      <c r="B341" s="34">
        <v>201040204</v>
      </c>
      <c r="C341" s="34" t="s">
        <v>44</v>
      </c>
      <c r="D341" s="34" t="s">
        <v>165</v>
      </c>
      <c r="E341" s="34" t="s">
        <v>165</v>
      </c>
      <c r="F341" s="34">
        <f t="shared" si="6"/>
        <v>10</v>
      </c>
      <c r="G341" s="34">
        <v>9353</v>
      </c>
      <c r="H341" s="34" t="s">
        <v>196</v>
      </c>
      <c r="I341" s="35"/>
      <c r="J341" s="35">
        <v>16.100000000000001</v>
      </c>
      <c r="K341" s="35">
        <v>-16.100000000000001</v>
      </c>
      <c r="L341" s="35">
        <v>-32.549999999999997</v>
      </c>
      <c r="M341" s="31" t="s">
        <v>779</v>
      </c>
    </row>
    <row r="342" spans="2:13" s="31" customFormat="1" ht="12.5" x14ac:dyDescent="0.25">
      <c r="B342" s="34">
        <v>201040204</v>
      </c>
      <c r="C342" s="34" t="s">
        <v>44</v>
      </c>
      <c r="D342" s="34" t="s">
        <v>126</v>
      </c>
      <c r="E342" s="34" t="s">
        <v>126</v>
      </c>
      <c r="F342" s="34">
        <f t="shared" si="6"/>
        <v>10</v>
      </c>
      <c r="G342" s="34">
        <v>9424</v>
      </c>
      <c r="H342" s="34" t="s">
        <v>197</v>
      </c>
      <c r="I342" s="35">
        <v>16.45</v>
      </c>
      <c r="J342" s="35"/>
      <c r="K342" s="35">
        <v>16.45</v>
      </c>
      <c r="L342" s="35">
        <v>-16.100000000000001</v>
      </c>
      <c r="M342" s="31" t="s">
        <v>782</v>
      </c>
    </row>
    <row r="343" spans="2:13" s="31" customFormat="1" ht="12.5" x14ac:dyDescent="0.25">
      <c r="B343" s="34">
        <v>201040204</v>
      </c>
      <c r="C343" s="34" t="s">
        <v>44</v>
      </c>
      <c r="D343" s="34" t="s">
        <v>717</v>
      </c>
      <c r="E343" s="34" t="s">
        <v>717</v>
      </c>
      <c r="F343" s="34">
        <f t="shared" si="6"/>
        <v>11</v>
      </c>
      <c r="G343" s="34">
        <v>9474</v>
      </c>
      <c r="H343" s="34" t="s">
        <v>784</v>
      </c>
      <c r="I343" s="35"/>
      <c r="J343" s="35">
        <v>3.42</v>
      </c>
      <c r="K343" s="35">
        <v>-3.42</v>
      </c>
      <c r="L343" s="35">
        <v>-19.52</v>
      </c>
      <c r="M343" s="31" t="s">
        <v>779</v>
      </c>
    </row>
    <row r="344" spans="2:13" s="31" customFormat="1" ht="12.5" x14ac:dyDescent="0.25">
      <c r="B344" s="34">
        <v>201040204</v>
      </c>
      <c r="C344" s="34" t="s">
        <v>44</v>
      </c>
      <c r="D344" s="34" t="s">
        <v>725</v>
      </c>
      <c r="E344" s="34" t="s">
        <v>725</v>
      </c>
      <c r="F344" s="34">
        <f t="shared" si="6"/>
        <v>11</v>
      </c>
      <c r="G344" s="34">
        <v>9472</v>
      </c>
      <c r="H344" s="34" t="s">
        <v>785</v>
      </c>
      <c r="I344" s="35"/>
      <c r="J344" s="35">
        <v>7</v>
      </c>
      <c r="K344" s="35">
        <v>-7</v>
      </c>
      <c r="L344" s="35">
        <v>-26.52</v>
      </c>
      <c r="M344" s="31" t="s">
        <v>779</v>
      </c>
    </row>
    <row r="345" spans="2:13" s="31" customFormat="1" ht="12.5" x14ac:dyDescent="0.25">
      <c r="B345" s="34">
        <v>201040204</v>
      </c>
      <c r="C345" s="34" t="s">
        <v>44</v>
      </c>
      <c r="D345" s="34" t="s">
        <v>412</v>
      </c>
      <c r="E345" s="34" t="s">
        <v>412</v>
      </c>
      <c r="F345" s="34">
        <f t="shared" si="6"/>
        <v>11</v>
      </c>
      <c r="G345" s="34">
        <v>9587</v>
      </c>
      <c r="H345" s="34" t="s">
        <v>704</v>
      </c>
      <c r="I345" s="35">
        <v>16.100000000000001</v>
      </c>
      <c r="J345" s="35"/>
      <c r="K345" s="35">
        <v>16.100000000000001</v>
      </c>
      <c r="L345" s="35">
        <v>-10.42</v>
      </c>
      <c r="M345" s="31" t="s">
        <v>782</v>
      </c>
    </row>
    <row r="346" spans="2:13" s="31" customFormat="1" ht="12.5" x14ac:dyDescent="0.25">
      <c r="B346" s="34">
        <v>201040204</v>
      </c>
      <c r="C346" s="34" t="s">
        <v>44</v>
      </c>
      <c r="D346" s="34" t="s">
        <v>706</v>
      </c>
      <c r="E346" s="34" t="s">
        <v>706</v>
      </c>
      <c r="F346" s="34">
        <f t="shared" si="6"/>
        <v>12</v>
      </c>
      <c r="G346" s="34">
        <v>9727</v>
      </c>
      <c r="H346" s="34" t="s">
        <v>707</v>
      </c>
      <c r="I346" s="35">
        <v>10.42</v>
      </c>
      <c r="J346" s="35"/>
      <c r="K346" s="35">
        <v>10.42</v>
      </c>
      <c r="L346" s="35">
        <v>0</v>
      </c>
      <c r="M346" s="31" t="s">
        <v>782</v>
      </c>
    </row>
    <row r="347" spans="2:13" s="31" customFormat="1" ht="12.5" x14ac:dyDescent="0.25">
      <c r="B347" s="34">
        <v>201040204</v>
      </c>
      <c r="C347" s="34" t="s">
        <v>44</v>
      </c>
      <c r="D347" s="34" t="s">
        <v>765</v>
      </c>
      <c r="E347" s="34" t="s">
        <v>765</v>
      </c>
      <c r="F347" s="34">
        <f t="shared" si="6"/>
        <v>12</v>
      </c>
      <c r="G347" s="34">
        <v>9698</v>
      </c>
      <c r="H347" s="34" t="s">
        <v>786</v>
      </c>
      <c r="I347" s="35"/>
      <c r="J347" s="35">
        <v>5.04</v>
      </c>
      <c r="K347" s="35">
        <v>-5.04</v>
      </c>
      <c r="L347" s="35">
        <v>-5.04</v>
      </c>
      <c r="M347" s="31" t="s">
        <v>779</v>
      </c>
    </row>
  </sheetData>
  <autoFilter ref="A1:M347" xr:uid="{2B8D1564-57B7-4633-8C50-0B7CBB0A5B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324.02</vt:lpstr>
      <vt:lpstr>Base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Osorio</dc:creator>
  <cp:lastModifiedBy>Admin</cp:lastModifiedBy>
  <cp:lastPrinted>2021-09-13T17:51:55Z</cp:lastPrinted>
  <dcterms:created xsi:type="dcterms:W3CDTF">2019-11-07T15:52:46Z</dcterms:created>
  <dcterms:modified xsi:type="dcterms:W3CDTF">2026-04-17T03:36:30Z</dcterms:modified>
</cp:coreProperties>
</file>