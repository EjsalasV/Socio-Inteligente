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5CC5BED9-4D1E-4187-A1A4-EFFD31D0A6A2}" xr6:coauthVersionLast="47" xr6:coauthVersionMax="47" xr10:uidLastSave="{00000000-0000-0000-0000-000000000000}"/>
  <bookViews>
    <workbookView xWindow="-110" yWindow="-110" windowWidth="19420" windowHeight="10300" tabRatio="573" xr2:uid="{00000000-000D-0000-FFFF-FFFF00000000}"/>
  </bookViews>
  <sheets>
    <sheet name="324.04" sheetId="14" r:id="rId1"/>
    <sheet name="Base de ventas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7" i="14" l="1"/>
  <c r="E65" i="14"/>
  <c r="C51" i="14"/>
  <c r="D59" i="14"/>
  <c r="R44" i="14"/>
  <c r="P44" i="14"/>
  <c r="L42" i="14"/>
  <c r="E77" i="14" l="1"/>
  <c r="I40" i="14"/>
  <c r="M42" i="14"/>
  <c r="I39" i="14"/>
  <c r="L41" i="14"/>
  <c r="I38" i="14"/>
  <c r="R49" i="14"/>
  <c r="R48" i="14"/>
  <c r="R47" i="14"/>
  <c r="R46" i="14"/>
  <c r="R45" i="14"/>
  <c r="R43" i="14"/>
  <c r="R42" i="14"/>
  <c r="R41" i="14"/>
  <c r="R40" i="14"/>
  <c r="R39" i="14"/>
  <c r="R38" i="14"/>
  <c r="I49" i="14"/>
  <c r="I48" i="14"/>
  <c r="I47" i="14"/>
  <c r="I46" i="14"/>
  <c r="I45" i="14"/>
  <c r="I44" i="14"/>
  <c r="I43" i="14"/>
  <c r="I42" i="14"/>
  <c r="I41" i="14"/>
  <c r="L49" i="14"/>
  <c r="L48" i="14"/>
  <c r="L47" i="14"/>
  <c r="L46" i="14"/>
  <c r="L45" i="14"/>
  <c r="L44" i="14"/>
  <c r="L43" i="14"/>
  <c r="L40" i="14"/>
  <c r="L39" i="14"/>
  <c r="L38" i="14"/>
  <c r="M41" i="14" l="1"/>
  <c r="K42" i="14" s="1"/>
  <c r="AB51" i="14"/>
  <c r="W51" i="14"/>
  <c r="V51" i="14"/>
  <c r="T51" i="14"/>
  <c r="Q51" i="14"/>
  <c r="O51" i="14"/>
  <c r="J51" i="14"/>
  <c r="F51" i="14"/>
  <c r="E51" i="14"/>
  <c r="D51" i="14"/>
  <c r="P49" i="14"/>
  <c r="S49" i="14" s="1"/>
  <c r="P48" i="14"/>
  <c r="S48" i="14" s="1"/>
  <c r="AC47" i="14"/>
  <c r="P47" i="14"/>
  <c r="S47" i="14" s="1"/>
  <c r="AC46" i="14"/>
  <c r="P46" i="14"/>
  <c r="S46" i="14" s="1"/>
  <c r="AC45" i="14"/>
  <c r="P45" i="14"/>
  <c r="S45" i="14" s="1"/>
  <c r="AC44" i="14"/>
  <c r="S44" i="14"/>
  <c r="AC43" i="14"/>
  <c r="P43" i="14"/>
  <c r="S43" i="14" s="1"/>
  <c r="AC42" i="14"/>
  <c r="P42" i="14"/>
  <c r="S42" i="14" s="1"/>
  <c r="AC41" i="14"/>
  <c r="P41" i="14"/>
  <c r="S41" i="14" s="1"/>
  <c r="AC40" i="14"/>
  <c r="P40" i="14"/>
  <c r="S40" i="14" s="1"/>
  <c r="AC39" i="14"/>
  <c r="P39" i="14"/>
  <c r="S39" i="14" s="1"/>
  <c r="AC38" i="14"/>
  <c r="P38" i="14"/>
  <c r="S38" i="14" s="1"/>
  <c r="N38" i="14"/>
  <c r="D71" i="14" l="1"/>
  <c r="F71" i="14" s="1"/>
  <c r="Y38" i="14"/>
  <c r="X38" i="14"/>
  <c r="AD38" i="14" s="1"/>
  <c r="M48" i="14"/>
  <c r="K49" i="14" s="1"/>
  <c r="N49" i="14" s="1"/>
  <c r="P51" i="14"/>
  <c r="M49" i="14"/>
  <c r="M43" i="14"/>
  <c r="K44" i="14" s="1"/>
  <c r="N44" i="14" s="1"/>
  <c r="M45" i="14"/>
  <c r="K46" i="14" s="1"/>
  <c r="N46" i="14" s="1"/>
  <c r="G51" i="14"/>
  <c r="M40" i="14"/>
  <c r="M44" i="14"/>
  <c r="K45" i="14" s="1"/>
  <c r="N45" i="14" s="1"/>
  <c r="M46" i="14"/>
  <c r="K47" i="14" s="1"/>
  <c r="N47" i="14" s="1"/>
  <c r="M39" i="14"/>
  <c r="N42" i="14"/>
  <c r="M47" i="14"/>
  <c r="K48" i="14" s="1"/>
  <c r="N48" i="14" s="1"/>
  <c r="I51" i="14"/>
  <c r="F65" i="14" l="1"/>
  <c r="K40" i="14"/>
  <c r="N40" i="14" s="1"/>
  <c r="K41" i="14"/>
  <c r="N41" i="14" s="1"/>
  <c r="K43" i="14"/>
  <c r="N43" i="14" s="1"/>
  <c r="U39" i="14"/>
  <c r="AE38" i="14"/>
  <c r="S51" i="14"/>
  <c r="L51" i="14"/>
  <c r="M38" i="14"/>
  <c r="AC49" i="14" l="1"/>
  <c r="K39" i="14"/>
  <c r="M51" i="14"/>
  <c r="K51" i="14" l="1"/>
  <c r="N39" i="14"/>
  <c r="AA51" i="14"/>
  <c r="F77" i="14" s="1"/>
  <c r="Z51" i="14"/>
  <c r="E59" i="14" s="1"/>
  <c r="AC48" i="14"/>
  <c r="AC51" i="14" s="1"/>
  <c r="F59" i="14" l="1"/>
  <c r="Y39" i="14"/>
  <c r="AE39" i="14" s="1"/>
  <c r="X39" i="14"/>
  <c r="N51" i="14"/>
  <c r="U40" i="14" l="1"/>
  <c r="Y40" i="14" s="1"/>
  <c r="AE40" i="14" s="1"/>
  <c r="AD39" i="14"/>
  <c r="X40" i="14" l="1"/>
  <c r="U41" i="14" s="1"/>
  <c r="AD40" i="14" l="1"/>
  <c r="Y41" i="14"/>
  <c r="X41" i="14"/>
  <c r="U42" i="14" l="1"/>
  <c r="AD41" i="14"/>
  <c r="AE41" i="14"/>
  <c r="X42" i="14" l="1"/>
  <c r="Y42" i="14"/>
  <c r="AE42" i="14" l="1"/>
  <c r="U43" i="14"/>
  <c r="AD42" i="14"/>
  <c r="Y43" i="14" l="1"/>
  <c r="X43" i="14"/>
  <c r="U44" i="14" s="1"/>
  <c r="AD43" i="14" l="1"/>
  <c r="AE43" i="14"/>
  <c r="X44" i="14" l="1"/>
  <c r="Y44" i="14"/>
  <c r="U45" i="14" l="1"/>
  <c r="AD44" i="14"/>
  <c r="AE44" i="14"/>
  <c r="Y45" i="14" l="1"/>
  <c r="AE45" i="14" s="1"/>
  <c r="X45" i="14"/>
  <c r="U46" i="14" l="1"/>
  <c r="AD45" i="14"/>
  <c r="X46" i="14" l="1"/>
  <c r="Y46" i="14"/>
  <c r="AE46" i="14" s="1"/>
  <c r="U47" i="14" l="1"/>
  <c r="AD46" i="14"/>
  <c r="Y47" i="14" l="1"/>
  <c r="AE47" i="14" s="1"/>
  <c r="X47" i="14"/>
  <c r="U48" i="14" l="1"/>
  <c r="AD47" i="14"/>
  <c r="Y48" i="14" l="1"/>
  <c r="AE48" i="14" s="1"/>
  <c r="X48" i="14"/>
  <c r="U49" i="14" l="1"/>
  <c r="AD48" i="14"/>
  <c r="Y49" i="14" l="1"/>
  <c r="X49" i="14"/>
  <c r="AD49" i="14" s="1"/>
  <c r="AD51" i="14" s="1"/>
  <c r="AE49" i="14" l="1"/>
  <c r="AE51" i="14" s="1"/>
  <c r="Y51" i="14"/>
</calcChain>
</file>

<file path=xl/sharedStrings.xml><?xml version="1.0" encoding="utf-8"?>
<sst xmlns="http://schemas.openxmlformats.org/spreadsheetml/2006/main" count="171" uniqueCount="147">
  <si>
    <t>Preparado por:</t>
  </si>
  <si>
    <t>Revisado por:</t>
  </si>
  <si>
    <t>Mes</t>
  </si>
  <si>
    <t>Ventas según declaraciones</t>
  </si>
  <si>
    <t xml:space="preserve">Liquidación del IVA según declaraciones </t>
  </si>
  <si>
    <t>Ventas netas gravadas con tarifa diferente de 0% 
(a)</t>
  </si>
  <si>
    <t>Ventas netas gravadas con tarifa 0% (con derecho a crédito tributario) (b)</t>
  </si>
  <si>
    <t>Ventas netas gravadas con tarifa 0% (sin derecho a crédito tributario) (c)</t>
  </si>
  <si>
    <t>Exportaciones de bienes y servicios</t>
  </si>
  <si>
    <t>Tarifa de IVA vigente (d)</t>
  </si>
  <si>
    <t>Impuesto generado en ventas</t>
  </si>
  <si>
    <t>IVA generado en la diferencia entre ventas y notas de crédito con distinta tarifa</t>
  </si>
  <si>
    <t>Impuesto a liquidar del mes anterior                     (e)</t>
  </si>
  <si>
    <t>Impuesto a liquidar en este mes                                        (f)</t>
  </si>
  <si>
    <t>Impuesto a liquidar en el próximo mes                               (g)</t>
  </si>
  <si>
    <t xml:space="preserve">Total impuesto a liquidar en este mes      </t>
  </si>
  <si>
    <t>Adquisiciones e importaciones netas gravadas con tarifa diferente de 0% (con derecho a crédito tributario)</t>
  </si>
  <si>
    <t>Impuesto causado en adquisiciones e importaciones (con derecho a crédito tributario)</t>
  </si>
  <si>
    <t>IVA generado en la diferencia entre adquisiciones y notas de crédito con distinta tarifa</t>
  </si>
  <si>
    <t>Factor de proporcionalidad (h)</t>
  </si>
  <si>
    <t>Crédito tributario en compras</t>
  </si>
  <si>
    <t>Compensaciones de IVA (ventas en medio electrónico y ventas en zonas afectadas - Ley de Solidaridad)</t>
  </si>
  <si>
    <t>Saldo de crédito tributario del mes anterior (i)</t>
  </si>
  <si>
    <t>Ajustes por IVA devuelto o descontado e IVA rechazado</t>
  </si>
  <si>
    <t>Saldo de crédito tributario para el próximo mes</t>
  </si>
  <si>
    <t>Total impuesto a pagar</t>
  </si>
  <si>
    <t>Valor neto - total ventas y otras operaciones
(casillero 419)</t>
  </si>
  <si>
    <t>Total crédito tributario para el próximo mes
(casilleros 615+617+618+619)</t>
  </si>
  <si>
    <t xml:space="preserve">Total impuesto a pagar por percepción  
  (casillero 699) </t>
  </si>
  <si>
    <t>Diferencia en ventas y exportaciones</t>
  </si>
  <si>
    <t>Diferencia en crédito tributario</t>
  </si>
  <si>
    <t xml:space="preserve">Diferencia en impuesto </t>
  </si>
  <si>
    <t>{1}</t>
  </si>
  <si>
    <t>{2}</t>
  </si>
  <si>
    <t>{3}</t>
  </si>
  <si>
    <t>{4}</t>
  </si>
  <si>
    <t>{5}</t>
  </si>
  <si>
    <t>{6}</t>
  </si>
  <si>
    <t>{7}={1*6}</t>
  </si>
  <si>
    <t>{8}</t>
  </si>
  <si>
    <t>{9}={11}</t>
  </si>
  <si>
    <t>{10}={{5*6}+8}</t>
  </si>
  <si>
    <t>{11}=-{7+8}-10}</t>
  </si>
  <si>
    <t>{12}={9+10}</t>
  </si>
  <si>
    <t>{13}</t>
  </si>
  <si>
    <t>{14}={13*6}</t>
  </si>
  <si>
    <t>{15}</t>
  </si>
  <si>
    <t>{16}={1+2+4} / {1+2+3+4}</t>
  </si>
  <si>
    <t>{17}={14+15}*16}</t>
  </si>
  <si>
    <t>{18}</t>
  </si>
  <si>
    <t>{19}={22}</t>
  </si>
  <si>
    <t>{20}</t>
  </si>
  <si>
    <t>{21}</t>
  </si>
  <si>
    <t>{22}</t>
  </si>
  <si>
    <t>{23}</t>
  </si>
  <si>
    <t>{24}</t>
  </si>
  <si>
    <t>{25}</t>
  </si>
  <si>
    <t>{26}</t>
  </si>
  <si>
    <t>{27}={24-1-2-3-4}</t>
  </si>
  <si>
    <t>{28}={25-22}</t>
  </si>
  <si>
    <t>{29}={26-23}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</si>
  <si>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</si>
  <si>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</si>
  <si>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</si>
  <si>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</si>
  <si>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</si>
  <si>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</si>
  <si>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</si>
  <si>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</si>
  <si>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</si>
  <si>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</si>
  <si>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</si>
  <si>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</si>
  <si>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Diferencias</t>
  </si>
  <si>
    <t>Marcas de auditoría:</t>
  </si>
  <si>
    <t>Objetivo:</t>
  </si>
  <si>
    <t>Procedimientos:</t>
  </si>
  <si>
    <t>Retenciones en la fuente de IVA del periodo
(609)</t>
  </si>
  <si>
    <t>COMPAÑÍA MODELO S.A.</t>
  </si>
  <si>
    <t>Observaciones:</t>
  </si>
  <si>
    <t>Conclusión:</t>
  </si>
  <si>
    <t>Notas aclaratorias:</t>
  </si>
  <si>
    <t>Base de decisión: Materialidad</t>
  </si>
  <si>
    <t>Ref.</t>
  </si>
  <si>
    <t>General</t>
  </si>
  <si>
    <t>Desempeño</t>
  </si>
  <si>
    <t>Errores Triviales</t>
  </si>
  <si>
    <t>[1]</t>
  </si>
  <si>
    <t>Sumatoria</t>
  </si>
  <si>
    <t>AL 31 DE DICIEMBRE DE 20XX</t>
  </si>
  <si>
    <t>XX</t>
  </si>
  <si>
    <t>Preliminar</t>
  </si>
  <si>
    <t>Final</t>
  </si>
  <si>
    <t>xxx.xxx</t>
  </si>
  <si>
    <t>Según Estado Financiero al 31/12/202x (Año de revisión)</t>
  </si>
  <si>
    <t>Tomado de mayores contables al 31/xx/20xx (Año de revisión)</t>
  </si>
  <si>
    <t>Código cuenta contable</t>
  </si>
  <si>
    <t>[2]</t>
  </si>
  <si>
    <t>[3]</t>
  </si>
  <si>
    <t>[4]</t>
  </si>
  <si>
    <t>a)</t>
  </si>
  <si>
    <t>b)</t>
  </si>
  <si>
    <t>c)</t>
  </si>
  <si>
    <t>Obs. 1</t>
  </si>
  <si>
    <t>Obs. 2</t>
  </si>
  <si>
    <t>Obs. 3</t>
  </si>
  <si>
    <t>FECHA DE CORTE: _ / _ / 20XX</t>
  </si>
  <si>
    <t>Verificaciones:</t>
  </si>
  <si>
    <t>1.-</t>
  </si>
  <si>
    <t>2.-</t>
  </si>
  <si>
    <t>3.-</t>
  </si>
  <si>
    <t>4.-</t>
  </si>
  <si>
    <t>Desarrollo:</t>
  </si>
  <si>
    <t>CONCILIACIÓN VALORES DECLARADOS IVA VS ESTADOS FINANCIEROS</t>
  </si>
  <si>
    <t>Cruce de valores declarados en IVA vs estados financieros</t>
  </si>
  <si>
    <t>Nombre cuenta contable</t>
  </si>
  <si>
    <t>Diferencia</t>
  </si>
  <si>
    <t>Saldo según formulario</t>
  </si>
  <si>
    <t>Saldo según registros contables</t>
  </si>
  <si>
    <t>A</t>
  </si>
  <si>
    <t>B</t>
  </si>
  <si>
    <t>C</t>
  </si>
  <si>
    <t>*** Concluir en función del objetivo</t>
  </si>
  <si>
    <t>Información proporcionada por el cliente</t>
  </si>
  <si>
    <t>324.04</t>
  </si>
  <si>
    <t>1) Cruce de ventas según registros contables vs formulario de declaración de impuestos</t>
  </si>
  <si>
    <t>Solicitar a la Compañía los formularios 104 de ____a_______del 20XX</t>
  </si>
  <si>
    <t>Cruzar los valores declarados vs el saldo en estados financieros.</t>
  </si>
  <si>
    <t>Documentar el papel  de trabajo y concluir en base al objetivo.</t>
  </si>
  <si>
    <t>Solicitar los detalles de compras y ventas de la Compañía.</t>
  </si>
  <si>
    <t>*** Detalle de ventas proporcionado por la Compañía</t>
  </si>
  <si>
    <t>Ventas netas gravadas con tarifa diferente de 0% a crédito</t>
  </si>
  <si>
    <t>Saldo según registros contables al _/_/20XX</t>
  </si>
  <si>
    <t>Detalle de ventas / mayores contables</t>
  </si>
  <si>
    <t>Liquidación del IVA en ventas según detalle o mayores contables</t>
  </si>
  <si>
    <t>Según detalle o mayores contables</t>
  </si>
  <si>
    <t>Adquisiciones, importaciones e IVA según detalle o mayores contables</t>
  </si>
  <si>
    <t>Liquidación del IVA según detalle o mayores contables</t>
  </si>
  <si>
    <t>Declaraciones de IVA</t>
  </si>
  <si>
    <t>2) Cruce de impuestos a pagar según registros contables vs estado de situación financiera</t>
  </si>
  <si>
    <t>Cruces</t>
  </si>
  <si>
    <t>Saldo según EEFF al _/_/20XX</t>
  </si>
  <si>
    <t>[5]</t>
  </si>
  <si>
    <t>***Referenciar con el papel de activos por impuestos corrientes (Conciliación de compras con el formulario 104)</t>
  </si>
  <si>
    <t>4) Cruce de crédito tributario estados financieros vs declaraciones</t>
  </si>
  <si>
    <t>Verificar la exactitud de los valores declarados en los formularios de IVA con estados financieros al _/_/20XX.</t>
  </si>
  <si>
    <t>3) Cruce de Retenciones en la fuente de IVA según registros contables vs declaraciones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</si>
</sst>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&quot;$&quot;#,##0_);[Red]\(&quot;$&quot;#,##0\)"/>
    <numFmt numFmtId="167" formatCode="_(* #,##0_);_(* \(#,##0\);_(* &quot;-&quot;_);_(@_)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sz val="10"/>
      <color rgb="FFC00000"/>
      <name val="Tahoma"/>
      <family val="2"/>
    </font>
    <font>
      <sz val="9"/>
      <color theme="1"/>
      <name val="Tahoma"/>
      <family val="2"/>
    </font>
    <font>
      <b/>
      <sz val="10"/>
      <color theme="0"/>
      <name val="Tahoma"/>
      <family val="2"/>
    </font>
    <font>
      <b/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sz val="10"/>
      <color rgb="FF000000"/>
      <name val="Tahoma"/>
      <family val="2"/>
    </font>
    <font>
      <b/>
      <sz val="10"/>
      <color rgb="FF002060"/>
      <name val="Tahoma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FF"/>
      <name val="Tahoma"/>
      <family val="2"/>
    </font>
    <font>
      <b/>
      <sz val="9"/>
      <color rgb="FFFF0000"/>
      <name val="Calibri"/>
      <family val="2"/>
      <scheme val="minor"/>
    </font>
    <font>
      <b/>
      <sz val="10"/>
      <color rgb="FF00009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5" fillId="0" borderId="0" applyFont="0" applyFill="0" applyBorder="0" applyAlignment="0" applyProtection="0"/>
    <xf numFmtId="0" fontId="5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2" fillId="0" borderId="0"/>
  </cellStyleXfs>
  <cellXfs count="90">
    <xf numFmtId="0" fontId="0" fillId="0" borderId="0" xfId="0"/>
    <xf numFmtId="0" fontId="8" fillId="2" borderId="0" xfId="0" applyFont="1" applyFill="1"/>
    <xf numFmtId="0" fontId="8" fillId="2" borderId="0" xfId="4" applyFont="1" applyFill="1"/>
    <xf numFmtId="0" fontId="14" fillId="2" borderId="0" xfId="0" applyFont="1" applyFill="1"/>
    <xf numFmtId="166" fontId="8" fillId="2" borderId="0" xfId="4" applyNumberFormat="1" applyFont="1" applyFill="1" applyAlignment="1">
      <alignment horizontal="center"/>
    </xf>
    <xf numFmtId="0" fontId="8" fillId="2" borderId="0" xfId="4" applyFont="1" applyFill="1" applyAlignment="1">
      <alignment horizontal="right"/>
    </xf>
    <xf numFmtId="0" fontId="8" fillId="2" borderId="0" xfId="0" applyFont="1" applyFill="1" applyAlignment="1">
      <alignment horizontal="center" vertical="center" wrapText="1"/>
    </xf>
    <xf numFmtId="0" fontId="12" fillId="2" borderId="0" xfId="0" applyFont="1" applyFill="1"/>
    <xf numFmtId="165" fontId="8" fillId="2" borderId="0" xfId="4" applyNumberFormat="1" applyFont="1" applyFill="1"/>
    <xf numFmtId="0" fontId="12" fillId="2" borderId="0" xfId="4" applyFont="1" applyFill="1" applyAlignment="1">
      <alignment horizontal="center"/>
    </xf>
    <xf numFmtId="4" fontId="8" fillId="2" borderId="0" xfId="4" applyNumberFormat="1" applyFont="1" applyFill="1"/>
    <xf numFmtId="165" fontId="9" fillId="2" borderId="3" xfId="1" applyNumberFormat="1" applyFont="1" applyFill="1" applyBorder="1"/>
    <xf numFmtId="165" fontId="8" fillId="2" borderId="0" xfId="1" applyNumberFormat="1" applyFont="1" applyFill="1" applyBorder="1"/>
    <xf numFmtId="165" fontId="8" fillId="2" borderId="0" xfId="1" applyNumberFormat="1" applyFont="1" applyFill="1" applyBorder="1" applyAlignment="1">
      <alignment horizontal="center"/>
    </xf>
    <xf numFmtId="165" fontId="9" fillId="2" borderId="4" xfId="1" applyNumberFormat="1" applyFont="1" applyFill="1" applyBorder="1"/>
    <xf numFmtId="0" fontId="13" fillId="2" borderId="0" xfId="0" applyFont="1" applyFill="1" applyAlignment="1">
      <alignment horizontal="center" vertical="center" wrapText="1"/>
    </xf>
    <xf numFmtId="0" fontId="10" fillId="0" borderId="0" xfId="0" applyFont="1"/>
    <xf numFmtId="0" fontId="10" fillId="0" borderId="5" xfId="0" applyFont="1" applyBorder="1"/>
    <xf numFmtId="165" fontId="8" fillId="0" borderId="0" xfId="1" applyNumberFormat="1" applyFont="1" applyFill="1" applyBorder="1"/>
    <xf numFmtId="0" fontId="3" fillId="0" borderId="0" xfId="0" applyFont="1"/>
    <xf numFmtId="0" fontId="17" fillId="0" borderId="0" xfId="3" applyFont="1"/>
    <xf numFmtId="0" fontId="3" fillId="2" borderId="0" xfId="0" applyFont="1" applyFill="1"/>
    <xf numFmtId="0" fontId="17" fillId="2" borderId="0" xfId="0" applyFont="1" applyFill="1"/>
    <xf numFmtId="0" fontId="8" fillId="0" borderId="0" xfId="3" applyFont="1"/>
    <xf numFmtId="0" fontId="4" fillId="2" borderId="0" xfId="0" applyFont="1" applyFill="1"/>
    <xf numFmtId="0" fontId="4" fillId="0" borderId="0" xfId="0" applyFont="1"/>
    <xf numFmtId="0" fontId="16" fillId="0" borderId="1" xfId="0" applyFont="1" applyBorder="1" applyAlignment="1" applyProtection="1">
      <alignment horizontal="center" vertical="center"/>
      <protection hidden="1"/>
    </xf>
    <xf numFmtId="0" fontId="18" fillId="0" borderId="0" xfId="18" applyFont="1"/>
    <xf numFmtId="0" fontId="19" fillId="0" borderId="0" xfId="0" applyFont="1" applyAlignment="1" applyProtection="1">
      <alignment horizontal="left" vertical="center"/>
      <protection hidden="1"/>
    </xf>
    <xf numFmtId="0" fontId="19" fillId="0" borderId="0" xfId="0" applyFont="1"/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20" fillId="0" borderId="0" xfId="0" applyFont="1"/>
    <xf numFmtId="0" fontId="17" fillId="3" borderId="0" xfId="3" applyFont="1" applyFill="1"/>
    <xf numFmtId="167" fontId="21" fillId="2" borderId="0" xfId="3" applyNumberFormat="1" applyFont="1" applyFill="1" applyAlignment="1">
      <alignment horizontal="left" vertical="center"/>
    </xf>
    <xf numFmtId="0" fontId="8" fillId="2" borderId="0" xfId="4" applyFont="1" applyFill="1" applyAlignment="1">
      <alignment horizontal="center"/>
    </xf>
    <xf numFmtId="43" fontId="8" fillId="2" borderId="0" xfId="1" applyFont="1" applyFill="1"/>
    <xf numFmtId="0" fontId="8" fillId="2" borderId="1" xfId="4" applyFont="1" applyFill="1" applyBorder="1"/>
    <xf numFmtId="165" fontId="8" fillId="2" borderId="1" xfId="1" applyNumberFormat="1" applyFont="1" applyFill="1" applyBorder="1"/>
    <xf numFmtId="9" fontId="8" fillId="2" borderId="1" xfId="2" applyFont="1" applyFill="1" applyBorder="1" applyAlignment="1">
      <alignment horizontal="center"/>
    </xf>
    <xf numFmtId="165" fontId="8" fillId="0" borderId="1" xfId="1" applyNumberFormat="1" applyFont="1" applyFill="1" applyBorder="1"/>
    <xf numFmtId="9" fontId="8" fillId="2" borderId="1" xfId="2" applyFont="1" applyFill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2" fillId="2" borderId="0" xfId="0" applyFont="1" applyFill="1"/>
    <xf numFmtId="0" fontId="1" fillId="2" borderId="1" xfId="18" applyFont="1" applyFill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0" xfId="0" applyFont="1"/>
    <xf numFmtId="0" fontId="23" fillId="0" borderId="0" xfId="0" applyFont="1"/>
    <xf numFmtId="0" fontId="8" fillId="0" borderId="0" xfId="0" applyFont="1"/>
    <xf numFmtId="0" fontId="8" fillId="0" borderId="1" xfId="18" applyFont="1" applyBorder="1" applyAlignment="1">
      <alignment horizontal="center"/>
    </xf>
    <xf numFmtId="0" fontId="1" fillId="2" borderId="0" xfId="0" applyFont="1" applyFill="1"/>
    <xf numFmtId="0" fontId="19" fillId="5" borderId="1" xfId="3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Continuous"/>
    </xf>
    <xf numFmtId="0" fontId="19" fillId="4" borderId="6" xfId="0" applyFont="1" applyFill="1" applyBorder="1" applyAlignment="1">
      <alignment horizontal="centerContinuous"/>
    </xf>
    <xf numFmtId="0" fontId="1" fillId="4" borderId="6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19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165" fontId="1" fillId="0" borderId="1" xfId="1" applyNumberFormat="1" applyFont="1" applyBorder="1"/>
    <xf numFmtId="165" fontId="1" fillId="0" borderId="0" xfId="1" applyNumberFormat="1" applyFont="1" applyBorder="1"/>
    <xf numFmtId="0" fontId="19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8" fillId="0" borderId="0" xfId="4" applyFont="1" applyAlignment="1">
      <alignment horizontal="center"/>
    </xf>
    <xf numFmtId="0" fontId="8" fillId="0" borderId="0" xfId="4" applyFont="1"/>
    <xf numFmtId="43" fontId="8" fillId="0" borderId="0" xfId="1" applyFont="1" applyFill="1"/>
    <xf numFmtId="165" fontId="1" fillId="0" borderId="0" xfId="0" applyNumberFormat="1" applyFont="1"/>
    <xf numFmtId="0" fontId="11" fillId="0" borderId="0" xfId="0" applyFont="1"/>
    <xf numFmtId="0" fontId="24" fillId="0" borderId="0" xfId="0" applyFont="1" applyAlignment="1">
      <alignment horizontal="center"/>
    </xf>
    <xf numFmtId="165" fontId="12" fillId="0" borderId="1" xfId="1" applyNumberFormat="1" applyFont="1" applyBorder="1"/>
    <xf numFmtId="0" fontId="11" fillId="0" borderId="0" xfId="0" applyFont="1" applyAlignment="1">
      <alignment horizontal="left"/>
    </xf>
    <xf numFmtId="0" fontId="19" fillId="5" borderId="2" xfId="0" applyFont="1" applyFill="1" applyBorder="1" applyAlignment="1" applyProtection="1">
      <alignment horizontal="center" vertical="center"/>
      <protection hidden="1"/>
    </xf>
    <xf numFmtId="0" fontId="19" fillId="5" borderId="1" xfId="0" applyFont="1" applyFill="1" applyBorder="1" applyAlignment="1">
      <alignment horizontal="center" vertical="center"/>
    </xf>
    <xf numFmtId="0" fontId="9" fillId="2" borderId="0" xfId="4" applyFont="1" applyFill="1"/>
    <xf numFmtId="4" fontId="9" fillId="2" borderId="0" xfId="4" applyNumberFormat="1" applyFont="1" applyFill="1"/>
    <xf numFmtId="0" fontId="25" fillId="0" borderId="0" xfId="0" applyFont="1"/>
    <xf numFmtId="165" fontId="9" fillId="2" borderId="0" xfId="4" applyNumberFormat="1" applyFont="1" applyFill="1"/>
    <xf numFmtId="49" fontId="24" fillId="2" borderId="0" xfId="4" applyNumberFormat="1" applyFont="1" applyFill="1" applyAlignment="1">
      <alignment horizontal="center"/>
    </xf>
    <xf numFmtId="0" fontId="9" fillId="2" borderId="0" xfId="0" applyFont="1" applyFill="1"/>
    <xf numFmtId="49" fontId="26" fillId="2" borderId="0" xfId="4" applyNumberFormat="1" applyFont="1" applyFill="1" applyAlignment="1">
      <alignment horizontal="left"/>
    </xf>
    <xf numFmtId="49" fontId="24" fillId="2" borderId="0" xfId="4" applyNumberFormat="1" applyFont="1" applyFill="1" applyAlignment="1">
      <alignment horizontal="right"/>
    </xf>
    <xf numFmtId="0" fontId="16" fillId="2" borderId="0" xfId="4" applyFont="1" applyFill="1" applyAlignment="1">
      <alignment horizontal="center"/>
    </xf>
    <xf numFmtId="0" fontId="8" fillId="5" borderId="1" xfId="18" applyFont="1" applyFill="1" applyBorder="1" applyAlignment="1">
      <alignment horizontal="center"/>
    </xf>
    <xf numFmtId="0" fontId="8" fillId="5" borderId="1" xfId="0" applyFont="1" applyFill="1" applyBorder="1"/>
    <xf numFmtId="0" fontId="15" fillId="6" borderId="1" xfId="3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2" borderId="0" xfId="4" applyFont="1" applyFill="1" applyBorder="1"/>
    <xf numFmtId="0" fontId="19" fillId="5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</cellXfs>
  <cellStyles count="20">
    <cellStyle name="Comma_ANALISIS1 2" xfId="9" xr:uid="{00000000-0005-0000-0000-000000000000}"/>
    <cellStyle name="Millares" xfId="1" builtinId="3"/>
    <cellStyle name="Millares 11 2 2" xfId="12" xr:uid="{00000000-0005-0000-0000-000002000000}"/>
    <cellStyle name="Millares 2" xfId="5" xr:uid="{00000000-0005-0000-0000-000003000000}"/>
    <cellStyle name="Millares 2 2" xfId="15" xr:uid="{00000000-0005-0000-0000-000004000000}"/>
    <cellStyle name="Millares 2 3" xfId="16" xr:uid="{00000000-0005-0000-0000-000005000000}"/>
    <cellStyle name="Normal" xfId="0" builtinId="0"/>
    <cellStyle name="Normal 10" xfId="10" xr:uid="{00000000-0005-0000-0000-000008000000}"/>
    <cellStyle name="Normal 12" xfId="13" xr:uid="{00000000-0005-0000-0000-000009000000}"/>
    <cellStyle name="Normal 2 10" xfId="18" xr:uid="{682B041A-CCD0-47AF-80E0-B525CFAABCEE}"/>
    <cellStyle name="Normal 2 11" xfId="17" xr:uid="{00000000-0005-0000-0000-00000A000000}"/>
    <cellStyle name="Normal 2 2" xfId="4" xr:uid="{00000000-0005-0000-0000-00000B000000}"/>
    <cellStyle name="Normal 2 8" xfId="11" xr:uid="{00000000-0005-0000-0000-00000C000000}"/>
    <cellStyle name="Normal 3 10 2" xfId="7" xr:uid="{00000000-0005-0000-0000-00000D000000}"/>
    <cellStyle name="Normal 7" xfId="19" xr:uid="{6A6E0B46-FF83-45C5-A865-D2B90EACB756}"/>
    <cellStyle name="Normal_2102 Sumaria de Efectivo y Equivalentes" xfId="3" xr:uid="{00000000-0005-0000-0000-00000E000000}"/>
    <cellStyle name="Porcentaje" xfId="2" builtinId="5"/>
    <cellStyle name="Porcentaje 2" xfId="14" xr:uid="{00000000-0005-0000-0000-000013000000}"/>
    <cellStyle name="Porcentaje 3" xfId="8" xr:uid="{00000000-0005-0000-0000-000014000000}"/>
    <cellStyle name="Porcentual 2" xfId="6" xr:uid="{00000000-0005-0000-0000-000015000000}"/>
  </cellStyles>
  <dxfs count="0"/>
  <tableStyles count="0" defaultTableStyle="TableStyleMedium2" defaultPivotStyle="PivotStyleLight16"/>
  <colors>
    <mruColors>
      <color rgb="FF0000FF"/>
      <color rgb="FF000099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9788</xdr:colOff>
      <xdr:row>31</xdr:row>
      <xdr:rowOff>142081</xdr:rowOff>
    </xdr:from>
    <xdr:to>
      <xdr:col>1</xdr:col>
      <xdr:colOff>201876</xdr:colOff>
      <xdr:row>33</xdr:row>
      <xdr:rowOff>43490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3583-330A-4BB7-89B5-5687B09DC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16" y="434895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282219</xdr:colOff>
      <xdr:row>32</xdr:row>
      <xdr:rowOff>52917</xdr:rowOff>
    </xdr:from>
    <xdr:to>
      <xdr:col>24</xdr:col>
      <xdr:colOff>1181805</xdr:colOff>
      <xdr:row>32</xdr:row>
      <xdr:rowOff>61733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131D9EE5-CD93-49C9-AC2A-DF88AB58EA96}"/>
            </a:ext>
          </a:extLst>
        </xdr:cNvPr>
        <xdr:cNvCxnSpPr/>
      </xdr:nvCxnSpPr>
      <xdr:spPr>
        <a:xfrm flipV="1">
          <a:off x="476247" y="4418542"/>
          <a:ext cx="33363961" cy="88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106801</xdr:colOff>
      <xdr:row>31</xdr:row>
      <xdr:rowOff>142230</xdr:rowOff>
    </xdr:from>
    <xdr:to>
      <xdr:col>25</xdr:col>
      <xdr:colOff>298889</xdr:colOff>
      <xdr:row>33</xdr:row>
      <xdr:rowOff>41925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FDB519-B1A8-4B05-877D-9A49B4205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55829" y="4349105"/>
          <a:ext cx="192088" cy="190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432153</xdr:colOff>
      <xdr:row>32</xdr:row>
      <xdr:rowOff>78148</xdr:rowOff>
    </xdr:from>
    <xdr:to>
      <xdr:col>27</xdr:col>
      <xdr:colOff>952500</xdr:colOff>
      <xdr:row>32</xdr:row>
      <xdr:rowOff>87850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F2AA5E5F-22F5-439C-97B1-B06B7B6B6D78}"/>
            </a:ext>
          </a:extLst>
        </xdr:cNvPr>
        <xdr:cNvCxnSpPr/>
      </xdr:nvCxnSpPr>
      <xdr:spPr>
        <a:xfrm>
          <a:off x="34332351" y="4451894"/>
          <a:ext cx="2909456" cy="970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1177635</xdr:colOff>
      <xdr:row>50</xdr:row>
      <xdr:rowOff>-1</xdr:rowOff>
    </xdr:from>
    <xdr:ext cx="211297" cy="211297"/>
    <xdr:pic>
      <xdr:nvPicPr>
        <xdr:cNvPr id="10" name="Imagen 9">
          <a:extLst>
            <a:ext uri="{FF2B5EF4-FFF2-40B4-BE49-F238E27FC236}">
              <a16:creationId xmlns:a16="http://schemas.microsoft.com/office/drawing/2014/main" id="{CF95DB30-C144-42BD-9904-D5C7823CA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908" y="855518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118839</xdr:colOff>
      <xdr:row>82</xdr:row>
      <xdr:rowOff>16934</xdr:rowOff>
    </xdr:from>
    <xdr:ext cx="211297" cy="211297"/>
    <xdr:pic>
      <xdr:nvPicPr>
        <xdr:cNvPr id="11" name="Imagen 10">
          <a:extLst>
            <a:ext uri="{FF2B5EF4-FFF2-40B4-BE49-F238E27FC236}">
              <a16:creationId xmlns:a16="http://schemas.microsoft.com/office/drawing/2014/main" id="{7C0C8264-B3C9-4817-841B-A1065EDA8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39" y="1518920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117805</xdr:colOff>
      <xdr:row>83</xdr:row>
      <xdr:rowOff>10795</xdr:rowOff>
    </xdr:from>
    <xdr:to>
      <xdr:col>0</xdr:col>
      <xdr:colOff>328010</xdr:colOff>
      <xdr:row>84</xdr:row>
      <xdr:rowOff>15017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D7838AE-E45E-4474-A28E-B8BA3AF2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05" y="15394728"/>
          <a:ext cx="210205" cy="215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119321</xdr:colOff>
      <xdr:row>84</xdr:row>
      <xdr:rowOff>34117</xdr:rowOff>
    </xdr:from>
    <xdr:to>
      <xdr:col>0</xdr:col>
      <xdr:colOff>325072</xdr:colOff>
      <xdr:row>85</xdr:row>
      <xdr:rowOff>42986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0F55B90-B754-4E77-B02E-3D3B58E1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21" y="15629717"/>
          <a:ext cx="205751" cy="220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114996</xdr:colOff>
      <xdr:row>85</xdr:row>
      <xdr:rowOff>23627</xdr:rowOff>
    </xdr:from>
    <xdr:to>
      <xdr:col>0</xdr:col>
      <xdr:colOff>333909</xdr:colOff>
      <xdr:row>86</xdr:row>
      <xdr:rowOff>37236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B387174-D95F-4713-A006-6178BB85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96" y="15830894"/>
          <a:ext cx="218913" cy="22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533409</xdr:colOff>
      <xdr:row>53</xdr:row>
      <xdr:rowOff>0</xdr:rowOff>
    </xdr:from>
    <xdr:to>
      <xdr:col>17</xdr:col>
      <xdr:colOff>772589</xdr:colOff>
      <xdr:row>54</xdr:row>
      <xdr:rowOff>73896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6EC8535-58DA-427F-9BA5-360F1046B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88885" y="10138507"/>
          <a:ext cx="239180" cy="251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1041400</xdr:colOff>
      <xdr:row>25</xdr:row>
      <xdr:rowOff>76200</xdr:rowOff>
    </xdr:from>
    <xdr:to>
      <xdr:col>14</xdr:col>
      <xdr:colOff>1041400</xdr:colOff>
      <xdr:row>30</xdr:row>
      <xdr:rowOff>101600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64A2B375-ADB6-4B29-BDFA-DA26C7C306DA}"/>
            </a:ext>
          </a:extLst>
        </xdr:cNvPr>
        <xdr:cNvCxnSpPr/>
      </xdr:nvCxnSpPr>
      <xdr:spPr>
        <a:xfrm>
          <a:off x="18804467" y="3742267"/>
          <a:ext cx="0" cy="7450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E91B-261B-49C9-BEA3-AB19C4049599}">
  <dimension ref="A1:AH109"/>
  <sheetViews>
    <sheetView showGridLines="0" tabSelected="1" zoomScale="75" zoomScaleNormal="75" workbookViewId="0"/>
  </sheetViews>
  <sheetFormatPr baseColWidth="10" defaultRowHeight="14.5" x14ac:dyDescent="0.35"/>
  <cols>
    <col min="1" max="1" width="7.6328125" customWidth="1"/>
    <col min="2" max="2" width="22.7265625" customWidth="1"/>
    <col min="3" max="3" width="18.1796875" customWidth="1"/>
    <col min="4" max="4" width="24.6328125" customWidth="1"/>
    <col min="5" max="5" width="19.36328125" customWidth="1"/>
    <col min="6" max="9" width="17.08984375" customWidth="1"/>
    <col min="10" max="10" width="24.90625" customWidth="1"/>
    <col min="11" max="14" width="17.08984375" customWidth="1"/>
    <col min="15" max="15" width="30.90625" customWidth="1"/>
    <col min="16" max="16" width="29" customWidth="1"/>
    <col min="17" max="17" width="28.26953125" customWidth="1"/>
    <col min="18" max="18" width="12.36328125" customWidth="1"/>
    <col min="19" max="19" width="36.36328125" customWidth="1"/>
    <col min="20" max="20" width="27.81640625" customWidth="1"/>
    <col min="21" max="24" width="17.08984375" customWidth="1"/>
    <col min="25" max="25" width="26.1796875" customWidth="1"/>
    <col min="26" max="26" width="23.36328125" customWidth="1"/>
    <col min="27" max="31" width="17.08984375" customWidth="1"/>
  </cols>
  <sheetData>
    <row r="1" spans="2:31" s="16" customFormat="1" ht="12.5" x14ac:dyDescent="0.25"/>
    <row r="2" spans="2:31" s="16" customFormat="1" ht="12.5" x14ac:dyDescent="0.25">
      <c r="AC2" s="72" t="s">
        <v>0</v>
      </c>
      <c r="AD2" s="72" t="s">
        <v>1</v>
      </c>
      <c r="AE2" s="73" t="s">
        <v>83</v>
      </c>
    </row>
    <row r="3" spans="2:31" s="16" customFormat="1" ht="12.5" x14ac:dyDescent="0.25">
      <c r="AC3" s="45" t="s">
        <v>90</v>
      </c>
      <c r="AD3" s="46" t="s">
        <v>90</v>
      </c>
      <c r="AE3" s="26" t="s">
        <v>124</v>
      </c>
    </row>
    <row r="4" spans="2:31" s="16" customFormat="1" ht="12.5" x14ac:dyDescent="0.25"/>
    <row r="5" spans="2:31" s="16" customFormat="1" ht="12.5" x14ac:dyDescent="0.25">
      <c r="B5" s="28" t="s">
        <v>78</v>
      </c>
    </row>
    <row r="6" spans="2:31" s="16" customFormat="1" ht="12.5" x14ac:dyDescent="0.25">
      <c r="B6" s="28" t="s">
        <v>113</v>
      </c>
    </row>
    <row r="7" spans="2:31" s="16" customFormat="1" ht="12.5" x14ac:dyDescent="0.25">
      <c r="B7" s="29" t="s">
        <v>89</v>
      </c>
    </row>
    <row r="8" spans="2:31" s="16" customFormat="1" ht="12.5" x14ac:dyDescent="0.25">
      <c r="B8" s="29" t="s">
        <v>106</v>
      </c>
    </row>
    <row r="9" spans="2:31" s="16" customFormat="1" ht="5.9" customHeight="1" thickBot="1" x14ac:dyDescent="0.3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2:31" s="1" customFormat="1" ht="13" thickTop="1" x14ac:dyDescent="0.25"/>
    <row r="11" spans="2:31" s="1" customFormat="1" ht="12.5" x14ac:dyDescent="0.25">
      <c r="B11" s="20" t="s">
        <v>75</v>
      </c>
    </row>
    <row r="12" spans="2:31" s="1" customFormat="1" ht="7" customHeight="1" x14ac:dyDescent="0.25">
      <c r="B12" s="20"/>
    </row>
    <row r="13" spans="2:31" s="1" customFormat="1" ht="12.5" x14ac:dyDescent="0.25">
      <c r="B13" s="47" t="s">
        <v>145</v>
      </c>
    </row>
    <row r="14" spans="2:31" s="1" customFormat="1" ht="12.5" x14ac:dyDescent="0.25">
      <c r="B14" s="3"/>
    </row>
    <row r="15" spans="2:31" s="1" customFormat="1" ht="12.5" x14ac:dyDescent="0.25">
      <c r="B15" s="33" t="s">
        <v>82</v>
      </c>
      <c r="C15" s="27"/>
    </row>
    <row r="16" spans="2:31" s="1" customFormat="1" ht="6" customHeight="1" x14ac:dyDescent="0.25">
      <c r="B16" s="19"/>
      <c r="C16" s="27"/>
    </row>
    <row r="17" spans="1:34" s="1" customFormat="1" ht="12.5" x14ac:dyDescent="0.25">
      <c r="B17" s="49"/>
      <c r="C17" s="83" t="s">
        <v>91</v>
      </c>
      <c r="D17" s="83" t="s">
        <v>92</v>
      </c>
    </row>
    <row r="18" spans="1:34" s="1" customFormat="1" ht="12.5" x14ac:dyDescent="0.25">
      <c r="B18" s="84" t="s">
        <v>84</v>
      </c>
      <c r="C18" s="50" t="s">
        <v>93</v>
      </c>
      <c r="D18" s="50" t="s">
        <v>93</v>
      </c>
    </row>
    <row r="19" spans="1:34" s="1" customFormat="1" ht="12.5" x14ac:dyDescent="0.25">
      <c r="B19" s="84" t="s">
        <v>85</v>
      </c>
      <c r="C19" s="50" t="s">
        <v>93</v>
      </c>
      <c r="D19" s="50" t="s">
        <v>93</v>
      </c>
    </row>
    <row r="20" spans="1:34" s="1" customFormat="1" ht="12.5" x14ac:dyDescent="0.25">
      <c r="B20" s="84" t="s">
        <v>86</v>
      </c>
      <c r="C20" s="50" t="s">
        <v>93</v>
      </c>
      <c r="D20" s="50" t="s">
        <v>93</v>
      </c>
    </row>
    <row r="21" spans="1:34" s="1" customFormat="1" ht="12.5" x14ac:dyDescent="0.25">
      <c r="B21" s="3"/>
    </row>
    <row r="22" spans="1:34" s="1" customFormat="1" ht="12.5" x14ac:dyDescent="0.25">
      <c r="B22" s="20" t="s">
        <v>76</v>
      </c>
    </row>
    <row r="23" spans="1:34" s="1" customFormat="1" ht="7" customHeight="1" x14ac:dyDescent="0.25">
      <c r="B23" s="20"/>
    </row>
    <row r="24" spans="1:34" s="1" customFormat="1" ht="12.5" x14ac:dyDescent="0.25">
      <c r="A24" s="86" t="s">
        <v>108</v>
      </c>
      <c r="B24" s="1" t="s">
        <v>126</v>
      </c>
    </row>
    <row r="25" spans="1:34" s="1" customFormat="1" ht="12.5" x14ac:dyDescent="0.25">
      <c r="A25" s="86" t="s">
        <v>109</v>
      </c>
      <c r="B25" s="1" t="s">
        <v>129</v>
      </c>
      <c r="O25" s="7" t="s">
        <v>143</v>
      </c>
    </row>
    <row r="26" spans="1:34" s="1" customFormat="1" ht="12.5" x14ac:dyDescent="0.25">
      <c r="A26" s="86" t="s">
        <v>110</v>
      </c>
      <c r="B26" s="2" t="s">
        <v>127</v>
      </c>
    </row>
    <row r="27" spans="1:34" s="1" customFormat="1" ht="12.5" x14ac:dyDescent="0.25">
      <c r="A27" s="86" t="s">
        <v>111</v>
      </c>
      <c r="B27" s="51" t="s">
        <v>128</v>
      </c>
    </row>
    <row r="28" spans="1:34" s="1" customFormat="1" ht="12.5" x14ac:dyDescent="0.25">
      <c r="B28" s="51"/>
    </row>
    <row r="29" spans="1:34" s="1" customFormat="1" ht="12.5" x14ac:dyDescent="0.25">
      <c r="B29" s="20" t="s">
        <v>112</v>
      </c>
    </row>
    <row r="30" spans="1:34" ht="7" customHeight="1" x14ac:dyDescent="0.35"/>
    <row r="31" spans="1:34" s="2" customFormat="1" x14ac:dyDescent="0.35">
      <c r="B31" s="48" t="s">
        <v>114</v>
      </c>
      <c r="P31" s="4"/>
      <c r="Q31" s="4"/>
      <c r="AC31" s="5"/>
      <c r="AD31" s="5"/>
      <c r="AE31" s="5"/>
      <c r="AF31" s="5"/>
      <c r="AG31" s="5"/>
      <c r="AH31" s="5"/>
    </row>
    <row r="32" spans="1:34" s="2" customFormat="1" ht="7" customHeight="1" x14ac:dyDescent="0.25">
      <c r="G32" s="8"/>
      <c r="P32" s="4"/>
      <c r="Q32" s="4"/>
      <c r="AC32" s="5"/>
      <c r="AD32" s="5"/>
      <c r="AE32" s="5"/>
      <c r="AF32" s="5"/>
      <c r="AG32" s="5"/>
      <c r="AH32" s="5"/>
    </row>
    <row r="33" spans="2:34" s="2" customFormat="1" ht="12.5" x14ac:dyDescent="0.25">
      <c r="G33" s="8"/>
      <c r="P33" s="4"/>
      <c r="Q33" s="4"/>
      <c r="AC33" s="5"/>
      <c r="AD33" s="5"/>
      <c r="AE33" s="5"/>
      <c r="AF33" s="5"/>
      <c r="AG33" s="5"/>
      <c r="AH33" s="5"/>
    </row>
    <row r="34" spans="2:34" s="1" customFormat="1" ht="12.5" x14ac:dyDescent="0.25">
      <c r="B34" s="88" t="s">
        <v>2</v>
      </c>
      <c r="C34" s="89" t="s">
        <v>135</v>
      </c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 t="s">
        <v>138</v>
      </c>
      <c r="AA34" s="89"/>
      <c r="AB34" s="89"/>
      <c r="AC34" s="89" t="s">
        <v>73</v>
      </c>
      <c r="AD34" s="89"/>
      <c r="AE34" s="89"/>
    </row>
    <row r="35" spans="2:34" s="6" customFormat="1" ht="35.25" customHeight="1" x14ac:dyDescent="0.35">
      <c r="B35" s="88"/>
      <c r="C35" s="89" t="s">
        <v>133</v>
      </c>
      <c r="D35" s="89"/>
      <c r="E35" s="89"/>
      <c r="F35" s="89"/>
      <c r="G35" s="89"/>
      <c r="H35" s="89" t="s">
        <v>134</v>
      </c>
      <c r="I35" s="89"/>
      <c r="J35" s="89"/>
      <c r="K35" s="89"/>
      <c r="L35" s="89"/>
      <c r="M35" s="89"/>
      <c r="N35" s="89"/>
      <c r="O35" s="89" t="s">
        <v>136</v>
      </c>
      <c r="P35" s="89"/>
      <c r="Q35" s="89"/>
      <c r="R35" s="89"/>
      <c r="S35" s="89"/>
      <c r="T35" s="89" t="s">
        <v>137</v>
      </c>
      <c r="U35" s="89"/>
      <c r="V35" s="89"/>
      <c r="W35" s="89"/>
      <c r="X35" s="89"/>
      <c r="Y35" s="89"/>
      <c r="Z35" s="85" t="s">
        <v>3</v>
      </c>
      <c r="AA35" s="89" t="s">
        <v>4</v>
      </c>
      <c r="AB35" s="89"/>
      <c r="AC35" s="89"/>
      <c r="AD35" s="89"/>
      <c r="AE35" s="89"/>
    </row>
    <row r="36" spans="2:34" s="1" customFormat="1" ht="72.5" customHeight="1" x14ac:dyDescent="0.25">
      <c r="B36" s="88"/>
      <c r="C36" s="53" t="s">
        <v>5</v>
      </c>
      <c r="D36" s="53" t="s">
        <v>6</v>
      </c>
      <c r="E36" s="53" t="s">
        <v>7</v>
      </c>
      <c r="F36" s="53" t="s">
        <v>8</v>
      </c>
      <c r="G36" s="53" t="s">
        <v>131</v>
      </c>
      <c r="H36" s="53" t="s">
        <v>9</v>
      </c>
      <c r="I36" s="53" t="s">
        <v>10</v>
      </c>
      <c r="J36" s="53" t="s">
        <v>11</v>
      </c>
      <c r="K36" s="53" t="s">
        <v>12</v>
      </c>
      <c r="L36" s="53" t="s">
        <v>13</v>
      </c>
      <c r="M36" s="53" t="s">
        <v>14</v>
      </c>
      <c r="N36" s="53" t="s">
        <v>15</v>
      </c>
      <c r="O36" s="53" t="s">
        <v>16</v>
      </c>
      <c r="P36" s="53" t="s">
        <v>17</v>
      </c>
      <c r="Q36" s="53" t="s">
        <v>18</v>
      </c>
      <c r="R36" s="53" t="s">
        <v>19</v>
      </c>
      <c r="S36" s="53" t="s">
        <v>20</v>
      </c>
      <c r="T36" s="53" t="s">
        <v>21</v>
      </c>
      <c r="U36" s="53" t="s">
        <v>22</v>
      </c>
      <c r="V36" s="53" t="s">
        <v>77</v>
      </c>
      <c r="W36" s="53" t="s">
        <v>23</v>
      </c>
      <c r="X36" s="53" t="s">
        <v>24</v>
      </c>
      <c r="Y36" s="53" t="s">
        <v>25</v>
      </c>
      <c r="Z36" s="53" t="s">
        <v>26</v>
      </c>
      <c r="AA36" s="53" t="s">
        <v>27</v>
      </c>
      <c r="AB36" s="53" t="s">
        <v>28</v>
      </c>
      <c r="AC36" s="53" t="s">
        <v>29</v>
      </c>
      <c r="AD36" s="53" t="s">
        <v>30</v>
      </c>
      <c r="AE36" s="53" t="s">
        <v>31</v>
      </c>
    </row>
    <row r="37" spans="2:34" s="15" customFormat="1" ht="37.5" x14ac:dyDescent="0.35">
      <c r="B37" s="88"/>
      <c r="C37" s="52" t="s">
        <v>32</v>
      </c>
      <c r="D37" s="52" t="s">
        <v>33</v>
      </c>
      <c r="E37" s="52" t="s">
        <v>34</v>
      </c>
      <c r="F37" s="52" t="s">
        <v>35</v>
      </c>
      <c r="G37" s="52" t="s">
        <v>36</v>
      </c>
      <c r="H37" s="52" t="s">
        <v>37</v>
      </c>
      <c r="I37" s="52" t="s">
        <v>38</v>
      </c>
      <c r="J37" s="52" t="s">
        <v>39</v>
      </c>
      <c r="K37" s="52" t="s">
        <v>40</v>
      </c>
      <c r="L37" s="52" t="s">
        <v>41</v>
      </c>
      <c r="M37" s="52" t="s">
        <v>42</v>
      </c>
      <c r="N37" s="52" t="s">
        <v>43</v>
      </c>
      <c r="O37" s="52" t="s">
        <v>44</v>
      </c>
      <c r="P37" s="52" t="s">
        <v>45</v>
      </c>
      <c r="Q37" s="52" t="s">
        <v>46</v>
      </c>
      <c r="R37" s="52" t="s">
        <v>47</v>
      </c>
      <c r="S37" s="52" t="s">
        <v>48</v>
      </c>
      <c r="T37" s="52" t="s">
        <v>49</v>
      </c>
      <c r="U37" s="52" t="s">
        <v>50</v>
      </c>
      <c r="V37" s="52" t="s">
        <v>51</v>
      </c>
      <c r="W37" s="52" t="s">
        <v>52</v>
      </c>
      <c r="X37" s="52" t="s">
        <v>53</v>
      </c>
      <c r="Y37" s="52" t="s">
        <v>54</v>
      </c>
      <c r="Z37" s="52" t="s">
        <v>55</v>
      </c>
      <c r="AA37" s="52" t="s">
        <v>56</v>
      </c>
      <c r="AB37" s="52" t="s">
        <v>57</v>
      </c>
      <c r="AC37" s="52" t="s">
        <v>58</v>
      </c>
      <c r="AD37" s="52" t="s">
        <v>59</v>
      </c>
      <c r="AE37" s="52" t="s">
        <v>60</v>
      </c>
    </row>
    <row r="38" spans="2:34" s="1" customFormat="1" ht="12.5" x14ac:dyDescent="0.25">
      <c r="B38" s="37" t="s">
        <v>61</v>
      </c>
      <c r="C38" s="38"/>
      <c r="D38" s="38">
        <v>0</v>
      </c>
      <c r="E38" s="38">
        <v>0</v>
      </c>
      <c r="F38" s="38">
        <v>0</v>
      </c>
      <c r="G38" s="38">
        <v>0</v>
      </c>
      <c r="H38" s="39">
        <v>0.12</v>
      </c>
      <c r="I38" s="38">
        <f>C38*H38</f>
        <v>0</v>
      </c>
      <c r="J38" s="38">
        <v>0</v>
      </c>
      <c r="K38" s="38">
        <v>0</v>
      </c>
      <c r="L38" s="38">
        <f>(((C38-G38)*H38)+J38)</f>
        <v>0</v>
      </c>
      <c r="M38" s="38">
        <f>I38+J38-L38</f>
        <v>0</v>
      </c>
      <c r="N38" s="38">
        <f>+K38+L38</f>
        <v>0</v>
      </c>
      <c r="O38" s="40"/>
      <c r="P38" s="38">
        <f>+O38*H38</f>
        <v>0</v>
      </c>
      <c r="Q38" s="38">
        <v>0</v>
      </c>
      <c r="R38" s="41">
        <f>IF(SUM(C38:F38)=0,0%,+(C38+D38+F38)/(C38+D38+E38+F38))</f>
        <v>0</v>
      </c>
      <c r="S38" s="38">
        <f>+(P38+Q38)*R38</f>
        <v>0</v>
      </c>
      <c r="T38" s="38">
        <v>0</v>
      </c>
      <c r="U38" s="38"/>
      <c r="V38" s="40">
        <v>0</v>
      </c>
      <c r="W38" s="38">
        <v>0</v>
      </c>
      <c r="X38" s="38">
        <f t="shared" ref="X38" si="0">ABS(IF((N38-S38-T38-U38-V38+W38)&lt;0,(N38-S38-T38-U38-V38+W38),0))</f>
        <v>0</v>
      </c>
      <c r="Y38" s="38">
        <f>+IF((N38-S38-T38-U38-V38+W38)&gt;0,(N38-S38-T38-U38-V38+W38),0)</f>
        <v>0</v>
      </c>
      <c r="Z38" s="38"/>
      <c r="AA38" s="38"/>
      <c r="AB38" s="38">
        <v>0</v>
      </c>
      <c r="AC38" s="38">
        <f>+Z38-C38-D38-E38-F38</f>
        <v>0</v>
      </c>
      <c r="AD38" s="38">
        <f t="shared" ref="AD38:AE40" si="1">AA38-X38</f>
        <v>0</v>
      </c>
      <c r="AE38" s="38">
        <f t="shared" si="1"/>
        <v>0</v>
      </c>
    </row>
    <row r="39" spans="2:34" s="1" customFormat="1" ht="12.5" x14ac:dyDescent="0.25">
      <c r="B39" s="37" t="s">
        <v>62</v>
      </c>
      <c r="C39" s="38"/>
      <c r="D39" s="38">
        <v>0</v>
      </c>
      <c r="E39" s="38">
        <v>0</v>
      </c>
      <c r="F39" s="38">
        <v>0</v>
      </c>
      <c r="G39" s="38">
        <v>0</v>
      </c>
      <c r="H39" s="39">
        <v>0.12</v>
      </c>
      <c r="I39" s="38">
        <f>C39*H39</f>
        <v>0</v>
      </c>
      <c r="J39" s="38">
        <v>0</v>
      </c>
      <c r="K39" s="38">
        <f>+M38</f>
        <v>0</v>
      </c>
      <c r="L39" s="38">
        <f t="shared" ref="L39:L49" si="2">(((C39-G39)*H39)+J39)</f>
        <v>0</v>
      </c>
      <c r="M39" s="38">
        <f t="shared" ref="M39:M49" si="3">I39+J39-L39</f>
        <v>0</v>
      </c>
      <c r="N39" s="38">
        <f t="shared" ref="N39:N49" si="4">+K39+L39</f>
        <v>0</v>
      </c>
      <c r="O39" s="40"/>
      <c r="P39" s="38">
        <f t="shared" ref="P39:P49" si="5">+O39*H39</f>
        <v>0</v>
      </c>
      <c r="Q39" s="38">
        <v>0</v>
      </c>
      <c r="R39" s="41">
        <f t="shared" ref="R39:R49" si="6">IF(SUM(C39:F39)=0,0%,+(C39+D39+F39)/(C39+D39+E39+F39))</f>
        <v>0</v>
      </c>
      <c r="S39" s="38">
        <f t="shared" ref="S39:S49" si="7">+(P39+Q39)*R39</f>
        <v>0</v>
      </c>
      <c r="T39" s="38">
        <v>0</v>
      </c>
      <c r="U39" s="38">
        <f>X38</f>
        <v>0</v>
      </c>
      <c r="V39" s="40">
        <v>0</v>
      </c>
      <c r="W39" s="38">
        <v>0</v>
      </c>
      <c r="X39" s="38">
        <f t="shared" ref="X39:X49" si="8">ABS(IF((N39-S39-T39-U39-V39+W39)&lt;0,(N39-S39-T39-U39-V39+W39),0))</f>
        <v>0</v>
      </c>
      <c r="Y39" s="38">
        <f t="shared" ref="Y39:Y49" si="9">+IF((N39-S39-T39-U39-V39+W39)&gt;0,(N39-S39-T39-U39-V39+W39),0)</f>
        <v>0</v>
      </c>
      <c r="Z39" s="38"/>
      <c r="AA39" s="38"/>
      <c r="AB39" s="38">
        <v>0</v>
      </c>
      <c r="AC39" s="38">
        <f>+Z39-C39-D39-E39-F39</f>
        <v>0</v>
      </c>
      <c r="AD39" s="38">
        <f>AA39-X39</f>
        <v>0</v>
      </c>
      <c r="AE39" s="38">
        <f t="shared" si="1"/>
        <v>0</v>
      </c>
    </row>
    <row r="40" spans="2:34" s="1" customFormat="1" ht="12.5" x14ac:dyDescent="0.25">
      <c r="B40" s="37" t="s">
        <v>63</v>
      </c>
      <c r="C40" s="38"/>
      <c r="D40" s="38">
        <v>0</v>
      </c>
      <c r="E40" s="38">
        <v>0</v>
      </c>
      <c r="F40" s="38">
        <v>0</v>
      </c>
      <c r="G40" s="38">
        <v>0</v>
      </c>
      <c r="H40" s="39">
        <v>0.12</v>
      </c>
      <c r="I40" s="38">
        <f>C40*H40</f>
        <v>0</v>
      </c>
      <c r="J40" s="38">
        <v>0</v>
      </c>
      <c r="K40" s="38">
        <f>+M39</f>
        <v>0</v>
      </c>
      <c r="L40" s="38">
        <f t="shared" si="2"/>
        <v>0</v>
      </c>
      <c r="M40" s="38">
        <f t="shared" si="3"/>
        <v>0</v>
      </c>
      <c r="N40" s="38">
        <f t="shared" si="4"/>
        <v>0</v>
      </c>
      <c r="O40" s="40"/>
      <c r="P40" s="38">
        <f t="shared" si="5"/>
        <v>0</v>
      </c>
      <c r="Q40" s="38">
        <v>0</v>
      </c>
      <c r="R40" s="41">
        <f t="shared" si="6"/>
        <v>0</v>
      </c>
      <c r="S40" s="38">
        <f t="shared" si="7"/>
        <v>0</v>
      </c>
      <c r="T40" s="38">
        <v>0</v>
      </c>
      <c r="U40" s="38">
        <f t="shared" ref="U40:U49" si="10">X39</f>
        <v>0</v>
      </c>
      <c r="V40" s="40">
        <v>0</v>
      </c>
      <c r="W40" s="38">
        <v>0</v>
      </c>
      <c r="X40" s="38">
        <f t="shared" si="8"/>
        <v>0</v>
      </c>
      <c r="Y40" s="38">
        <f t="shared" si="9"/>
        <v>0</v>
      </c>
      <c r="Z40" s="38"/>
      <c r="AA40" s="38"/>
      <c r="AB40" s="38">
        <v>0</v>
      </c>
      <c r="AC40" s="38">
        <f>+Z40-C40-D40-E40-F40</f>
        <v>0</v>
      </c>
      <c r="AD40" s="38">
        <f t="shared" si="1"/>
        <v>0</v>
      </c>
      <c r="AE40" s="38">
        <f>AB40-Y40</f>
        <v>0</v>
      </c>
    </row>
    <row r="41" spans="2:34" s="1" customFormat="1" ht="12.5" x14ac:dyDescent="0.25">
      <c r="B41" s="37" t="s">
        <v>64</v>
      </c>
      <c r="C41" s="38"/>
      <c r="D41" s="38">
        <v>0</v>
      </c>
      <c r="E41" s="38">
        <v>0</v>
      </c>
      <c r="F41" s="38">
        <v>0</v>
      </c>
      <c r="G41" s="38">
        <v>0</v>
      </c>
      <c r="H41" s="39">
        <v>0.12</v>
      </c>
      <c r="I41" s="38">
        <f t="shared" ref="I41:I49" si="11">C41*H41</f>
        <v>0</v>
      </c>
      <c r="J41" s="38">
        <v>0</v>
      </c>
      <c r="K41" s="38">
        <f>+M40</f>
        <v>0</v>
      </c>
      <c r="L41" s="38">
        <f>(((C41-G41)*H41)+J41)</f>
        <v>0</v>
      </c>
      <c r="M41" s="38">
        <f>I41+J41-L41</f>
        <v>0</v>
      </c>
      <c r="N41" s="38">
        <f t="shared" si="4"/>
        <v>0</v>
      </c>
      <c r="O41" s="40"/>
      <c r="P41" s="38">
        <f t="shared" si="5"/>
        <v>0</v>
      </c>
      <c r="Q41" s="38">
        <v>0</v>
      </c>
      <c r="R41" s="41">
        <f t="shared" si="6"/>
        <v>0</v>
      </c>
      <c r="S41" s="38">
        <f t="shared" si="7"/>
        <v>0</v>
      </c>
      <c r="T41" s="38">
        <v>0</v>
      </c>
      <c r="U41" s="38">
        <f t="shared" si="10"/>
        <v>0</v>
      </c>
      <c r="V41" s="40">
        <v>0</v>
      </c>
      <c r="W41" s="38">
        <v>0</v>
      </c>
      <c r="X41" s="38">
        <f t="shared" si="8"/>
        <v>0</v>
      </c>
      <c r="Y41" s="38">
        <f t="shared" si="9"/>
        <v>0</v>
      </c>
      <c r="Z41" s="38"/>
      <c r="AA41" s="38"/>
      <c r="AB41" s="38">
        <v>0</v>
      </c>
      <c r="AC41" s="38">
        <f>+Z41-C41-D41-E41-F41</f>
        <v>0</v>
      </c>
      <c r="AD41" s="38">
        <f t="shared" ref="AD41:AE49" si="12">AA41-X41</f>
        <v>0</v>
      </c>
      <c r="AE41" s="38">
        <f t="shared" si="12"/>
        <v>0</v>
      </c>
    </row>
    <row r="42" spans="2:34" s="1" customFormat="1" ht="12.5" x14ac:dyDescent="0.25">
      <c r="B42" s="37" t="s">
        <v>65</v>
      </c>
      <c r="C42" s="38"/>
      <c r="D42" s="38">
        <v>0</v>
      </c>
      <c r="E42" s="38">
        <v>0</v>
      </c>
      <c r="F42" s="38">
        <v>0</v>
      </c>
      <c r="G42" s="38">
        <v>0</v>
      </c>
      <c r="H42" s="39">
        <v>0.12</v>
      </c>
      <c r="I42" s="38">
        <f t="shared" si="11"/>
        <v>0</v>
      </c>
      <c r="J42" s="38">
        <v>0</v>
      </c>
      <c r="K42" s="38">
        <f>+M41</f>
        <v>0</v>
      </c>
      <c r="L42" s="38">
        <f>(((C42-G42)*H42)+J42)</f>
        <v>0</v>
      </c>
      <c r="M42" s="38">
        <f>I42+J42-L42</f>
        <v>0</v>
      </c>
      <c r="N42" s="38">
        <f t="shared" si="4"/>
        <v>0</v>
      </c>
      <c r="O42" s="40"/>
      <c r="P42" s="38">
        <f t="shared" si="5"/>
        <v>0</v>
      </c>
      <c r="Q42" s="38">
        <v>0</v>
      </c>
      <c r="R42" s="41">
        <f t="shared" si="6"/>
        <v>0</v>
      </c>
      <c r="S42" s="38">
        <f t="shared" si="7"/>
        <v>0</v>
      </c>
      <c r="T42" s="38">
        <v>0</v>
      </c>
      <c r="U42" s="38">
        <f t="shared" si="10"/>
        <v>0</v>
      </c>
      <c r="V42" s="40">
        <v>0</v>
      </c>
      <c r="W42" s="38">
        <v>0</v>
      </c>
      <c r="X42" s="38">
        <f t="shared" si="8"/>
        <v>0</v>
      </c>
      <c r="Y42" s="38">
        <f t="shared" si="9"/>
        <v>0</v>
      </c>
      <c r="Z42" s="38"/>
      <c r="AA42" s="38"/>
      <c r="AB42" s="38">
        <v>0</v>
      </c>
      <c r="AC42" s="38">
        <f t="shared" ref="AC42:AC49" si="13">+Z42-C42-D42-E42-F42</f>
        <v>0</v>
      </c>
      <c r="AD42" s="38">
        <f t="shared" si="12"/>
        <v>0</v>
      </c>
      <c r="AE42" s="38">
        <f t="shared" si="12"/>
        <v>0</v>
      </c>
    </row>
    <row r="43" spans="2:34" s="1" customFormat="1" ht="12.5" x14ac:dyDescent="0.25">
      <c r="B43" s="37" t="s">
        <v>66</v>
      </c>
      <c r="C43" s="38"/>
      <c r="D43" s="38">
        <v>0</v>
      </c>
      <c r="E43" s="38">
        <v>0</v>
      </c>
      <c r="F43" s="38">
        <v>0</v>
      </c>
      <c r="G43" s="38">
        <v>0</v>
      </c>
      <c r="H43" s="39">
        <v>0.12</v>
      </c>
      <c r="I43" s="38">
        <f t="shared" si="11"/>
        <v>0</v>
      </c>
      <c r="J43" s="38">
        <v>0</v>
      </c>
      <c r="K43" s="38">
        <f>+M42</f>
        <v>0</v>
      </c>
      <c r="L43" s="38">
        <f t="shared" si="2"/>
        <v>0</v>
      </c>
      <c r="M43" s="38">
        <f t="shared" si="3"/>
        <v>0</v>
      </c>
      <c r="N43" s="38">
        <f t="shared" si="4"/>
        <v>0</v>
      </c>
      <c r="O43" s="40"/>
      <c r="P43" s="38">
        <f t="shared" si="5"/>
        <v>0</v>
      </c>
      <c r="Q43" s="38">
        <v>0</v>
      </c>
      <c r="R43" s="41">
        <f t="shared" si="6"/>
        <v>0</v>
      </c>
      <c r="S43" s="38">
        <f t="shared" si="7"/>
        <v>0</v>
      </c>
      <c r="T43" s="38">
        <v>0</v>
      </c>
      <c r="U43" s="38">
        <f t="shared" si="10"/>
        <v>0</v>
      </c>
      <c r="V43" s="40">
        <v>0</v>
      </c>
      <c r="W43" s="38">
        <v>0</v>
      </c>
      <c r="X43" s="38">
        <f t="shared" si="8"/>
        <v>0</v>
      </c>
      <c r="Y43" s="38">
        <f t="shared" si="9"/>
        <v>0</v>
      </c>
      <c r="Z43" s="38"/>
      <c r="AA43" s="38"/>
      <c r="AB43" s="38">
        <v>0</v>
      </c>
      <c r="AC43" s="38">
        <f t="shared" si="13"/>
        <v>0</v>
      </c>
      <c r="AD43" s="38">
        <f t="shared" si="12"/>
        <v>0</v>
      </c>
      <c r="AE43" s="38">
        <f t="shared" si="12"/>
        <v>0</v>
      </c>
    </row>
    <row r="44" spans="2:34" s="1" customFormat="1" ht="12.5" x14ac:dyDescent="0.25">
      <c r="B44" s="37" t="s">
        <v>67</v>
      </c>
      <c r="C44" s="38"/>
      <c r="D44" s="38">
        <v>0</v>
      </c>
      <c r="E44" s="38">
        <v>0</v>
      </c>
      <c r="F44" s="38">
        <v>0</v>
      </c>
      <c r="G44" s="38">
        <v>0</v>
      </c>
      <c r="H44" s="39">
        <v>0.12</v>
      </c>
      <c r="I44" s="38">
        <f t="shared" si="11"/>
        <v>0</v>
      </c>
      <c r="J44" s="38">
        <v>0</v>
      </c>
      <c r="K44" s="38">
        <f t="shared" ref="K44:K49" si="14">+M43</f>
        <v>0</v>
      </c>
      <c r="L44" s="38">
        <f t="shared" si="2"/>
        <v>0</v>
      </c>
      <c r="M44" s="38">
        <f t="shared" si="3"/>
        <v>0</v>
      </c>
      <c r="N44" s="38">
        <f t="shared" si="4"/>
        <v>0</v>
      </c>
      <c r="O44" s="40"/>
      <c r="P44" s="38">
        <f>+O44*H44</f>
        <v>0</v>
      </c>
      <c r="Q44" s="38">
        <v>0</v>
      </c>
      <c r="R44" s="41">
        <f>IF(SUM(C44:F44)=0,0%,+(C44+D44+F44)/(C44+D44+E44+F44))</f>
        <v>0</v>
      </c>
      <c r="S44" s="38">
        <f t="shared" si="7"/>
        <v>0</v>
      </c>
      <c r="T44" s="38">
        <v>0</v>
      </c>
      <c r="U44" s="38">
        <f>X43</f>
        <v>0</v>
      </c>
      <c r="V44" s="40">
        <v>0</v>
      </c>
      <c r="W44" s="38">
        <v>0</v>
      </c>
      <c r="X44" s="38">
        <f t="shared" si="8"/>
        <v>0</v>
      </c>
      <c r="Y44" s="38">
        <f t="shared" si="9"/>
        <v>0</v>
      </c>
      <c r="Z44" s="38"/>
      <c r="AA44" s="38"/>
      <c r="AB44" s="38">
        <v>0</v>
      </c>
      <c r="AC44" s="38">
        <f>+Z44-C44-D44-E44-F44</f>
        <v>0</v>
      </c>
      <c r="AD44" s="38">
        <f t="shared" si="12"/>
        <v>0</v>
      </c>
      <c r="AE44" s="38">
        <f t="shared" si="12"/>
        <v>0</v>
      </c>
      <c r="AF44" s="7"/>
    </row>
    <row r="45" spans="2:34" s="1" customFormat="1" ht="12.5" x14ac:dyDescent="0.25">
      <c r="B45" s="37" t="s">
        <v>68</v>
      </c>
      <c r="C45" s="38"/>
      <c r="D45" s="38">
        <v>0</v>
      </c>
      <c r="E45" s="38">
        <v>0</v>
      </c>
      <c r="F45" s="38">
        <v>0</v>
      </c>
      <c r="G45" s="38">
        <v>0</v>
      </c>
      <c r="H45" s="39">
        <v>0.12</v>
      </c>
      <c r="I45" s="38">
        <f t="shared" si="11"/>
        <v>0</v>
      </c>
      <c r="J45" s="38">
        <v>0</v>
      </c>
      <c r="K45" s="38">
        <f t="shared" si="14"/>
        <v>0</v>
      </c>
      <c r="L45" s="38">
        <f t="shared" si="2"/>
        <v>0</v>
      </c>
      <c r="M45" s="38">
        <f t="shared" si="3"/>
        <v>0</v>
      </c>
      <c r="N45" s="38">
        <f t="shared" si="4"/>
        <v>0</v>
      </c>
      <c r="O45" s="40"/>
      <c r="P45" s="38">
        <f t="shared" si="5"/>
        <v>0</v>
      </c>
      <c r="Q45" s="38">
        <v>0</v>
      </c>
      <c r="R45" s="41">
        <f t="shared" si="6"/>
        <v>0</v>
      </c>
      <c r="S45" s="38">
        <f t="shared" si="7"/>
        <v>0</v>
      </c>
      <c r="T45" s="38">
        <v>0</v>
      </c>
      <c r="U45" s="38">
        <f t="shared" si="10"/>
        <v>0</v>
      </c>
      <c r="V45" s="40">
        <v>0</v>
      </c>
      <c r="W45" s="38">
        <v>0</v>
      </c>
      <c r="X45" s="38">
        <f t="shared" si="8"/>
        <v>0</v>
      </c>
      <c r="Y45" s="38">
        <f t="shared" si="9"/>
        <v>0</v>
      </c>
      <c r="Z45" s="38"/>
      <c r="AA45" s="38"/>
      <c r="AB45" s="38">
        <v>0</v>
      </c>
      <c r="AC45" s="38">
        <f t="shared" si="13"/>
        <v>0</v>
      </c>
      <c r="AD45" s="38">
        <f t="shared" si="12"/>
        <v>0</v>
      </c>
      <c r="AE45" s="38">
        <f t="shared" si="12"/>
        <v>0</v>
      </c>
    </row>
    <row r="46" spans="2:34" s="1" customFormat="1" ht="12.5" x14ac:dyDescent="0.25">
      <c r="B46" s="37" t="s">
        <v>69</v>
      </c>
      <c r="C46" s="38"/>
      <c r="D46" s="38">
        <v>0</v>
      </c>
      <c r="E46" s="38">
        <v>0</v>
      </c>
      <c r="F46" s="38">
        <v>0</v>
      </c>
      <c r="G46" s="38">
        <v>0</v>
      </c>
      <c r="H46" s="39">
        <v>0.12</v>
      </c>
      <c r="I46" s="38">
        <f t="shared" si="11"/>
        <v>0</v>
      </c>
      <c r="J46" s="38">
        <v>0</v>
      </c>
      <c r="K46" s="38">
        <f t="shared" si="14"/>
        <v>0</v>
      </c>
      <c r="L46" s="38">
        <f t="shared" si="2"/>
        <v>0</v>
      </c>
      <c r="M46" s="38">
        <f t="shared" si="3"/>
        <v>0</v>
      </c>
      <c r="N46" s="38">
        <f t="shared" si="4"/>
        <v>0</v>
      </c>
      <c r="O46" s="40"/>
      <c r="P46" s="38">
        <f t="shared" si="5"/>
        <v>0</v>
      </c>
      <c r="Q46" s="38">
        <v>0</v>
      </c>
      <c r="R46" s="41">
        <f t="shared" si="6"/>
        <v>0</v>
      </c>
      <c r="S46" s="38">
        <f t="shared" si="7"/>
        <v>0</v>
      </c>
      <c r="T46" s="38">
        <v>0</v>
      </c>
      <c r="U46" s="38">
        <f t="shared" si="10"/>
        <v>0</v>
      </c>
      <c r="V46" s="40">
        <v>0</v>
      </c>
      <c r="W46" s="38">
        <v>0</v>
      </c>
      <c r="X46" s="38">
        <f t="shared" si="8"/>
        <v>0</v>
      </c>
      <c r="Y46" s="38">
        <f t="shared" si="9"/>
        <v>0</v>
      </c>
      <c r="Z46" s="38"/>
      <c r="AA46" s="38"/>
      <c r="AB46" s="38">
        <v>0</v>
      </c>
      <c r="AC46" s="38">
        <f t="shared" si="13"/>
        <v>0</v>
      </c>
      <c r="AD46" s="38">
        <f>AA46-X46</f>
        <v>0</v>
      </c>
      <c r="AE46" s="38">
        <f>AB46-Y46</f>
        <v>0</v>
      </c>
    </row>
    <row r="47" spans="2:34" s="1" customFormat="1" ht="12.5" x14ac:dyDescent="0.25">
      <c r="B47" s="37" t="s">
        <v>70</v>
      </c>
      <c r="C47" s="38"/>
      <c r="D47" s="38">
        <v>0</v>
      </c>
      <c r="E47" s="38">
        <v>0</v>
      </c>
      <c r="F47" s="38">
        <v>0</v>
      </c>
      <c r="G47" s="38">
        <v>0</v>
      </c>
      <c r="H47" s="39">
        <v>0.12</v>
      </c>
      <c r="I47" s="38">
        <f t="shared" si="11"/>
        <v>0</v>
      </c>
      <c r="J47" s="38">
        <v>0</v>
      </c>
      <c r="K47" s="38">
        <f t="shared" si="14"/>
        <v>0</v>
      </c>
      <c r="L47" s="38">
        <f t="shared" si="2"/>
        <v>0</v>
      </c>
      <c r="M47" s="38">
        <f t="shared" si="3"/>
        <v>0</v>
      </c>
      <c r="N47" s="38">
        <f>+K47+L47</f>
        <v>0</v>
      </c>
      <c r="O47" s="40"/>
      <c r="P47" s="38">
        <f t="shared" si="5"/>
        <v>0</v>
      </c>
      <c r="Q47" s="38">
        <v>0</v>
      </c>
      <c r="R47" s="41">
        <f t="shared" si="6"/>
        <v>0</v>
      </c>
      <c r="S47" s="38">
        <f t="shared" si="7"/>
        <v>0</v>
      </c>
      <c r="T47" s="38">
        <v>0</v>
      </c>
      <c r="U47" s="38">
        <f t="shared" si="10"/>
        <v>0</v>
      </c>
      <c r="V47" s="40">
        <v>0</v>
      </c>
      <c r="W47" s="38">
        <v>0</v>
      </c>
      <c r="X47" s="38">
        <f t="shared" si="8"/>
        <v>0</v>
      </c>
      <c r="Y47" s="38">
        <f t="shared" si="9"/>
        <v>0</v>
      </c>
      <c r="Z47" s="38"/>
      <c r="AA47" s="38"/>
      <c r="AB47" s="38">
        <v>0</v>
      </c>
      <c r="AC47" s="38">
        <f t="shared" si="13"/>
        <v>0</v>
      </c>
      <c r="AD47" s="38">
        <f t="shared" ref="AD47:AE47" si="15">AA47-X47</f>
        <v>0</v>
      </c>
      <c r="AE47" s="38">
        <f t="shared" si="15"/>
        <v>0</v>
      </c>
    </row>
    <row r="48" spans="2:34" s="1" customFormat="1" ht="12.5" x14ac:dyDescent="0.25">
      <c r="B48" s="37" t="s">
        <v>71</v>
      </c>
      <c r="C48" s="40"/>
      <c r="D48" s="38">
        <v>0</v>
      </c>
      <c r="E48" s="38">
        <v>0</v>
      </c>
      <c r="F48" s="38">
        <v>0</v>
      </c>
      <c r="G48" s="38">
        <v>0</v>
      </c>
      <c r="H48" s="39">
        <v>0.12</v>
      </c>
      <c r="I48" s="38">
        <f t="shared" si="11"/>
        <v>0</v>
      </c>
      <c r="J48" s="38">
        <v>0</v>
      </c>
      <c r="K48" s="38">
        <f t="shared" si="14"/>
        <v>0</v>
      </c>
      <c r="L48" s="38">
        <f t="shared" si="2"/>
        <v>0</v>
      </c>
      <c r="M48" s="38">
        <f t="shared" si="3"/>
        <v>0</v>
      </c>
      <c r="N48" s="38">
        <f>+K48+L48</f>
        <v>0</v>
      </c>
      <c r="O48" s="40"/>
      <c r="P48" s="38">
        <f t="shared" si="5"/>
        <v>0</v>
      </c>
      <c r="Q48" s="38">
        <v>0</v>
      </c>
      <c r="R48" s="41">
        <f t="shared" si="6"/>
        <v>0</v>
      </c>
      <c r="S48" s="38">
        <f t="shared" si="7"/>
        <v>0</v>
      </c>
      <c r="T48" s="38">
        <v>0</v>
      </c>
      <c r="U48" s="38">
        <f t="shared" si="10"/>
        <v>0</v>
      </c>
      <c r="V48" s="40">
        <v>0</v>
      </c>
      <c r="W48" s="38">
        <v>0</v>
      </c>
      <c r="X48" s="38">
        <f t="shared" si="8"/>
        <v>0</v>
      </c>
      <c r="Y48" s="38">
        <f t="shared" si="9"/>
        <v>0</v>
      </c>
      <c r="Z48" s="38"/>
      <c r="AA48" s="38"/>
      <c r="AB48" s="38">
        <v>0</v>
      </c>
      <c r="AC48" s="38">
        <f t="shared" si="13"/>
        <v>0</v>
      </c>
      <c r="AD48" s="38">
        <f t="shared" si="12"/>
        <v>0</v>
      </c>
      <c r="AE48" s="38">
        <f>AB48-Y48</f>
        <v>0</v>
      </c>
      <c r="AF48" s="7"/>
    </row>
    <row r="49" spans="2:32" s="1" customFormat="1" ht="12.5" x14ac:dyDescent="0.25">
      <c r="B49" s="37" t="s">
        <v>72</v>
      </c>
      <c r="C49" s="40"/>
      <c r="D49" s="38">
        <v>0</v>
      </c>
      <c r="E49" s="38">
        <v>0</v>
      </c>
      <c r="F49" s="38">
        <v>0</v>
      </c>
      <c r="G49" s="38">
        <v>0</v>
      </c>
      <c r="H49" s="39">
        <v>0.12</v>
      </c>
      <c r="I49" s="38">
        <f t="shared" si="11"/>
        <v>0</v>
      </c>
      <c r="J49" s="38">
        <v>0</v>
      </c>
      <c r="K49" s="38">
        <f t="shared" si="14"/>
        <v>0</v>
      </c>
      <c r="L49" s="38">
        <f t="shared" si="2"/>
        <v>0</v>
      </c>
      <c r="M49" s="38">
        <f t="shared" si="3"/>
        <v>0</v>
      </c>
      <c r="N49" s="38">
        <f t="shared" si="4"/>
        <v>0</v>
      </c>
      <c r="O49" s="40"/>
      <c r="P49" s="38">
        <f t="shared" si="5"/>
        <v>0</v>
      </c>
      <c r="Q49" s="38">
        <v>0</v>
      </c>
      <c r="R49" s="41">
        <f t="shared" si="6"/>
        <v>0</v>
      </c>
      <c r="S49" s="38">
        <f t="shared" si="7"/>
        <v>0</v>
      </c>
      <c r="T49" s="38">
        <v>0</v>
      </c>
      <c r="U49" s="38">
        <f t="shared" si="10"/>
        <v>0</v>
      </c>
      <c r="V49" s="40">
        <v>0</v>
      </c>
      <c r="W49" s="38">
        <v>0</v>
      </c>
      <c r="X49" s="38">
        <f t="shared" si="8"/>
        <v>0</v>
      </c>
      <c r="Y49" s="38">
        <f t="shared" si="9"/>
        <v>0</v>
      </c>
      <c r="Z49" s="38"/>
      <c r="AA49" s="38"/>
      <c r="AB49" s="38">
        <v>0</v>
      </c>
      <c r="AC49" s="38">
        <f t="shared" si="13"/>
        <v>0</v>
      </c>
      <c r="AD49" s="38">
        <f t="shared" si="12"/>
        <v>0</v>
      </c>
      <c r="AE49" s="38">
        <f t="shared" si="12"/>
        <v>0</v>
      </c>
      <c r="AF49" s="7"/>
    </row>
    <row r="50" spans="2:32" s="1" customFormat="1" ht="6" customHeight="1" x14ac:dyDescent="0.25">
      <c r="B50" s="2"/>
      <c r="C50" s="12"/>
      <c r="D50" s="12"/>
      <c r="E50" s="12"/>
      <c r="F50" s="12"/>
      <c r="G50" s="12"/>
      <c r="H50" s="13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7"/>
    </row>
    <row r="51" spans="2:32" s="1" customFormat="1" ht="13" thickBot="1" x14ac:dyDescent="0.3">
      <c r="B51" s="87"/>
      <c r="C51" s="14">
        <f>+SUM(C38:C49)</f>
        <v>0</v>
      </c>
      <c r="D51" s="11">
        <f>+SUM(D38:D49)</f>
        <v>0</v>
      </c>
      <c r="E51" s="11">
        <f>+SUM(E38:E49)</f>
        <v>0</v>
      </c>
      <c r="F51" s="11">
        <f>+SUM(F38:F49)</f>
        <v>0</v>
      </c>
      <c r="G51" s="11">
        <f t="shared" ref="G51" si="16">+SUM(G38:G49)</f>
        <v>0</v>
      </c>
      <c r="H51" s="11"/>
      <c r="I51" s="11">
        <f t="shared" ref="I51:Q51" si="17">+SUM(I38:I49)</f>
        <v>0</v>
      </c>
      <c r="J51" s="11">
        <f t="shared" si="17"/>
        <v>0</v>
      </c>
      <c r="K51" s="11">
        <f t="shared" si="17"/>
        <v>0</v>
      </c>
      <c r="L51" s="11">
        <f t="shared" si="17"/>
        <v>0</v>
      </c>
      <c r="M51" s="11">
        <f t="shared" si="17"/>
        <v>0</v>
      </c>
      <c r="N51" s="11">
        <f t="shared" si="17"/>
        <v>0</v>
      </c>
      <c r="O51" s="11">
        <f t="shared" si="17"/>
        <v>0</v>
      </c>
      <c r="P51" s="11">
        <f t="shared" si="17"/>
        <v>0</v>
      </c>
      <c r="Q51" s="11">
        <f t="shared" si="17"/>
        <v>0</v>
      </c>
      <c r="R51" s="11"/>
      <c r="S51" s="11">
        <f>+SUM(S38:S49)</f>
        <v>0</v>
      </c>
      <c r="T51" s="11">
        <f t="shared" ref="T51" si="18">+SUM(T38:T49)</f>
        <v>0</v>
      </c>
      <c r="U51" s="11"/>
      <c r="V51" s="11">
        <f>+SUM(V38:V49)</f>
        <v>0</v>
      </c>
      <c r="W51" s="11">
        <f>+SUM(W38:W49)</f>
        <v>0</v>
      </c>
      <c r="X51" s="11"/>
      <c r="Y51" s="11">
        <f t="shared" ref="Y51:AE51" si="19">+SUM(Y38:Y49)</f>
        <v>0</v>
      </c>
      <c r="Z51" s="11">
        <f>+SUM(Z38:Z49)</f>
        <v>0</v>
      </c>
      <c r="AA51" s="11">
        <f t="shared" si="19"/>
        <v>0</v>
      </c>
      <c r="AB51" s="11">
        <f t="shared" si="19"/>
        <v>0</v>
      </c>
      <c r="AC51" s="11">
        <f t="shared" si="19"/>
        <v>0</v>
      </c>
      <c r="AD51" s="11">
        <f>AD49</f>
        <v>0</v>
      </c>
      <c r="AE51" s="11">
        <f t="shared" si="19"/>
        <v>0</v>
      </c>
      <c r="AF51" s="31"/>
    </row>
    <row r="52" spans="2:32" s="79" customFormat="1" ht="13.5" thickTop="1" x14ac:dyDescent="0.3">
      <c r="B52" s="74"/>
      <c r="C52" s="75"/>
      <c r="D52" s="74"/>
      <c r="E52" s="76"/>
      <c r="F52" s="74"/>
      <c r="G52" s="74"/>
      <c r="H52" s="74"/>
      <c r="I52" s="77"/>
      <c r="J52" s="77"/>
      <c r="K52" s="77"/>
      <c r="L52" s="77"/>
      <c r="M52" s="77"/>
      <c r="N52" s="78" t="s">
        <v>97</v>
      </c>
      <c r="P52" s="80"/>
      <c r="Q52" s="74"/>
      <c r="R52" s="74"/>
      <c r="S52" s="74"/>
      <c r="T52" s="74"/>
      <c r="U52" s="74"/>
      <c r="V52" s="81" t="s">
        <v>98</v>
      </c>
      <c r="W52" s="81"/>
      <c r="X52" s="81" t="s">
        <v>142</v>
      </c>
      <c r="Y52" s="74"/>
      <c r="Z52" s="81" t="s">
        <v>87</v>
      </c>
      <c r="AA52" s="81" t="s">
        <v>99</v>
      </c>
      <c r="AB52" s="74"/>
      <c r="AC52" s="82"/>
      <c r="AD52" s="82"/>
      <c r="AE52" s="82"/>
    </row>
    <row r="53" spans="2:32" s="1" customFormat="1" ht="12.5" x14ac:dyDescent="0.25">
      <c r="B53" s="2"/>
      <c r="C53" s="10"/>
      <c r="D53" s="2"/>
      <c r="E53" s="2"/>
      <c r="F53" s="2"/>
      <c r="G53" s="2"/>
      <c r="H53" s="2"/>
      <c r="I53" s="8"/>
      <c r="J53" s="8"/>
      <c r="K53" s="8"/>
      <c r="M53" s="8"/>
      <c r="N53" s="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9"/>
    </row>
    <row r="54" spans="2:32" x14ac:dyDescent="0.35">
      <c r="B54" s="54" t="s">
        <v>140</v>
      </c>
      <c r="C54" s="55"/>
      <c r="D54" s="55"/>
      <c r="E54" s="56"/>
      <c r="F54" s="57"/>
      <c r="G54" s="47"/>
      <c r="Y54" s="35"/>
      <c r="Z54" s="2"/>
      <c r="AA54" s="36"/>
    </row>
    <row r="55" spans="2:32" x14ac:dyDescent="0.35">
      <c r="B55" s="62"/>
      <c r="C55" s="62"/>
      <c r="D55" s="62"/>
      <c r="E55" s="63"/>
      <c r="F55" s="63"/>
      <c r="G55" s="47"/>
      <c r="Y55" s="64"/>
      <c r="Z55" s="65"/>
      <c r="AA55" s="66"/>
    </row>
    <row r="56" spans="2:32" x14ac:dyDescent="0.35">
      <c r="B56" s="71" t="s">
        <v>125</v>
      </c>
      <c r="C56" s="62"/>
      <c r="D56" s="62"/>
      <c r="E56" s="63"/>
      <c r="F56" s="63"/>
      <c r="G56" s="47"/>
      <c r="Y56" s="64"/>
      <c r="Z56" s="65"/>
      <c r="AA56" s="66"/>
    </row>
    <row r="57" spans="2:32" x14ac:dyDescent="0.35">
      <c r="B57" s="47"/>
      <c r="C57" s="47"/>
      <c r="D57" s="47"/>
      <c r="E57" s="47"/>
      <c r="F57" s="47"/>
      <c r="G57" s="47"/>
      <c r="Y57" s="64"/>
      <c r="Z57" s="65"/>
      <c r="AA57" s="66"/>
    </row>
    <row r="58" spans="2:32" ht="25" x14ac:dyDescent="0.35">
      <c r="B58" s="58" t="s">
        <v>96</v>
      </c>
      <c r="C58" s="58" t="s">
        <v>115</v>
      </c>
      <c r="D58" s="58" t="s">
        <v>132</v>
      </c>
      <c r="E58" s="58" t="s">
        <v>117</v>
      </c>
      <c r="F58" s="58" t="s">
        <v>116</v>
      </c>
      <c r="G58" s="47"/>
      <c r="Y58" s="35"/>
      <c r="Z58" s="2"/>
      <c r="AA58" s="36"/>
    </row>
    <row r="59" spans="2:32" x14ac:dyDescent="0.35">
      <c r="B59" s="59"/>
      <c r="C59" s="59"/>
      <c r="D59" s="60">
        <f>+C51+D51+E51+F51</f>
        <v>0</v>
      </c>
      <c r="E59" s="60">
        <f>+Z51</f>
        <v>0</v>
      </c>
      <c r="F59" s="70">
        <f>+D59-E59</f>
        <v>0</v>
      </c>
      <c r="G59" s="47"/>
      <c r="Y59" s="35"/>
      <c r="Z59" s="2"/>
      <c r="AA59" s="36"/>
    </row>
    <row r="60" spans="2:32" x14ac:dyDescent="0.35">
      <c r="B60" s="47"/>
      <c r="C60" s="47"/>
      <c r="D60" s="47"/>
      <c r="E60" s="69" t="s">
        <v>87</v>
      </c>
      <c r="F60" s="47"/>
      <c r="G60" s="47"/>
      <c r="Y60" s="35"/>
      <c r="Z60" s="2"/>
      <c r="AA60" s="36"/>
    </row>
    <row r="61" spans="2:32" x14ac:dyDescent="0.35">
      <c r="B61" s="47"/>
      <c r="C61" s="47"/>
      <c r="D61" s="61"/>
      <c r="E61" s="47"/>
      <c r="F61" s="67"/>
      <c r="G61" s="47"/>
      <c r="Y61" s="35"/>
      <c r="Z61" s="2"/>
      <c r="AA61" s="36"/>
    </row>
    <row r="62" spans="2:32" x14ac:dyDescent="0.35">
      <c r="B62" s="71" t="s">
        <v>139</v>
      </c>
      <c r="C62" s="62"/>
      <c r="D62" s="62"/>
      <c r="E62" s="63"/>
      <c r="F62" s="63"/>
      <c r="G62" s="47"/>
      <c r="Y62" s="35"/>
      <c r="Z62" s="2"/>
      <c r="AA62" s="36"/>
    </row>
    <row r="63" spans="2:32" x14ac:dyDescent="0.35">
      <c r="B63" s="47"/>
      <c r="C63" s="47"/>
      <c r="D63" s="47"/>
      <c r="E63" s="47"/>
      <c r="F63" s="47"/>
      <c r="G63" s="47"/>
      <c r="Y63" s="35"/>
      <c r="Z63" s="2"/>
      <c r="AA63" s="36"/>
    </row>
    <row r="64" spans="2:32" ht="25" x14ac:dyDescent="0.35">
      <c r="B64" s="58" t="s">
        <v>96</v>
      </c>
      <c r="C64" s="58" t="s">
        <v>115</v>
      </c>
      <c r="D64" s="58" t="s">
        <v>141</v>
      </c>
      <c r="E64" s="58" t="s">
        <v>118</v>
      </c>
      <c r="F64" s="58" t="s">
        <v>116</v>
      </c>
      <c r="G64" s="47"/>
      <c r="Y64" s="35"/>
      <c r="Z64" s="2"/>
      <c r="AA64" s="36"/>
    </row>
    <row r="65" spans="2:27" x14ac:dyDescent="0.35">
      <c r="B65" s="59"/>
      <c r="C65" s="59"/>
      <c r="D65" s="60"/>
      <c r="E65" s="60">
        <f>+N49</f>
        <v>0</v>
      </c>
      <c r="F65" s="70">
        <f>+D65-E65</f>
        <v>0</v>
      </c>
      <c r="G65" s="47"/>
      <c r="Y65" s="35"/>
      <c r="Z65" s="2"/>
      <c r="AA65" s="36"/>
    </row>
    <row r="66" spans="2:27" x14ac:dyDescent="0.35">
      <c r="B66" s="47"/>
      <c r="C66" s="47"/>
      <c r="D66" s="47"/>
      <c r="E66" s="69" t="s">
        <v>97</v>
      </c>
      <c r="F66" s="47"/>
      <c r="G66" s="47"/>
      <c r="Y66" s="35"/>
      <c r="Z66" s="2"/>
      <c r="AA66" s="36"/>
    </row>
    <row r="67" spans="2:27" x14ac:dyDescent="0.35">
      <c r="B67" s="47"/>
      <c r="C67" s="47"/>
      <c r="D67" s="47"/>
      <c r="E67" s="47"/>
      <c r="F67" s="47"/>
      <c r="G67" s="47"/>
      <c r="Y67" s="35"/>
      <c r="Z67" s="2"/>
      <c r="AA67" s="36"/>
    </row>
    <row r="68" spans="2:27" x14ac:dyDescent="0.35">
      <c r="B68" s="68" t="s">
        <v>146</v>
      </c>
      <c r="C68" s="47"/>
      <c r="D68" s="47"/>
      <c r="E68" s="47"/>
      <c r="F68" s="47"/>
      <c r="G68" s="47"/>
      <c r="Y68" s="35"/>
      <c r="Z68" s="2"/>
      <c r="AA68" s="36"/>
    </row>
    <row r="69" spans="2:27" x14ac:dyDescent="0.35">
      <c r="B69" s="47"/>
      <c r="C69" s="47"/>
      <c r="D69" s="47"/>
      <c r="E69" s="47"/>
      <c r="F69" s="47"/>
      <c r="G69" s="47"/>
      <c r="Y69" s="35"/>
      <c r="Z69" s="2"/>
      <c r="AA69" s="36"/>
    </row>
    <row r="70" spans="2:27" ht="25" x14ac:dyDescent="0.35">
      <c r="B70" s="58" t="s">
        <v>96</v>
      </c>
      <c r="C70" s="58" t="s">
        <v>115</v>
      </c>
      <c r="D70" s="58" t="s">
        <v>118</v>
      </c>
      <c r="E70" s="58" t="s">
        <v>117</v>
      </c>
      <c r="F70" s="58" t="s">
        <v>116</v>
      </c>
      <c r="G70" s="47"/>
      <c r="Y70" s="35"/>
      <c r="Z70" s="2"/>
      <c r="AA70" s="36"/>
    </row>
    <row r="71" spans="2:27" x14ac:dyDescent="0.35">
      <c r="B71" s="59"/>
      <c r="C71" s="59"/>
      <c r="D71" s="60">
        <f>+V51</f>
        <v>0</v>
      </c>
      <c r="E71" s="60"/>
      <c r="F71" s="70">
        <f>+D71-E71</f>
        <v>0</v>
      </c>
      <c r="G71" s="47"/>
      <c r="Y71" s="35"/>
      <c r="Z71" s="2"/>
      <c r="AA71" s="36"/>
    </row>
    <row r="72" spans="2:27" x14ac:dyDescent="0.35">
      <c r="B72" s="47"/>
      <c r="C72" s="47"/>
      <c r="D72" s="69" t="s">
        <v>98</v>
      </c>
      <c r="E72" s="69"/>
      <c r="F72" s="47"/>
      <c r="G72" s="47"/>
      <c r="Y72" s="35"/>
      <c r="Z72" s="2"/>
      <c r="AA72" s="36"/>
    </row>
    <row r="73" spans="2:27" x14ac:dyDescent="0.35">
      <c r="B73" s="68"/>
      <c r="C73" s="47"/>
      <c r="D73" s="47"/>
      <c r="E73" s="47"/>
      <c r="F73" s="47"/>
      <c r="G73" s="47"/>
      <c r="Y73" s="35"/>
      <c r="Z73" s="2"/>
      <c r="AA73" s="36"/>
    </row>
    <row r="74" spans="2:27" x14ac:dyDescent="0.35">
      <c r="B74" s="68" t="s">
        <v>144</v>
      </c>
      <c r="C74" s="47"/>
      <c r="D74" s="47"/>
      <c r="E74" s="47"/>
      <c r="F74" s="47"/>
      <c r="G74" s="47"/>
      <c r="Y74" s="35"/>
      <c r="Z74" s="2"/>
      <c r="AA74" s="36"/>
    </row>
    <row r="75" spans="2:27" x14ac:dyDescent="0.35">
      <c r="B75" s="68"/>
      <c r="C75" s="47"/>
      <c r="D75" s="47"/>
      <c r="E75" s="47"/>
      <c r="F75" s="47"/>
      <c r="G75" s="47"/>
      <c r="Y75" s="35"/>
      <c r="Z75" s="2"/>
      <c r="AA75" s="36"/>
    </row>
    <row r="76" spans="2:27" ht="25" x14ac:dyDescent="0.35">
      <c r="B76" s="58" t="s">
        <v>96</v>
      </c>
      <c r="C76" s="58" t="s">
        <v>115</v>
      </c>
      <c r="D76" s="58" t="s">
        <v>141</v>
      </c>
      <c r="E76" s="58" t="s">
        <v>117</v>
      </c>
      <c r="F76" s="58" t="s">
        <v>116</v>
      </c>
      <c r="G76" s="47"/>
      <c r="Y76" s="35"/>
      <c r="Z76" s="2"/>
      <c r="AA76" s="36"/>
    </row>
    <row r="77" spans="2:27" x14ac:dyDescent="0.35">
      <c r="B77" s="59"/>
      <c r="C77" s="59"/>
      <c r="D77" s="60">
        <f>+X51</f>
        <v>0</v>
      </c>
      <c r="E77" s="60">
        <f>+AA51</f>
        <v>0</v>
      </c>
      <c r="F77" s="70">
        <f>+D77-E77</f>
        <v>0</v>
      </c>
      <c r="G77" s="47"/>
      <c r="Y77" s="35"/>
      <c r="Z77" s="2"/>
      <c r="AA77" s="36"/>
    </row>
    <row r="78" spans="2:27" x14ac:dyDescent="0.35">
      <c r="B78" s="47"/>
      <c r="C78" s="47"/>
      <c r="D78" s="78" t="s">
        <v>142</v>
      </c>
      <c r="E78" s="69" t="s">
        <v>99</v>
      </c>
      <c r="F78" s="47"/>
      <c r="G78" s="47"/>
      <c r="Y78" s="35"/>
      <c r="Z78" s="2"/>
      <c r="AA78" s="36"/>
    </row>
    <row r="79" spans="2:27" x14ac:dyDescent="0.35">
      <c r="B79" s="68"/>
      <c r="C79" s="47"/>
      <c r="D79" s="47"/>
      <c r="E79" s="47"/>
      <c r="F79" s="47"/>
      <c r="G79" s="47"/>
      <c r="Y79" s="35"/>
      <c r="Z79" s="2"/>
      <c r="AA79" s="36"/>
    </row>
    <row r="80" spans="2:27" x14ac:dyDescent="0.35">
      <c r="Y80" s="35"/>
      <c r="Z80" s="2"/>
      <c r="AA80" s="36"/>
    </row>
    <row r="81" spans="1:27" x14ac:dyDescent="0.35">
      <c r="B81" s="22" t="s">
        <v>74</v>
      </c>
      <c r="C81" s="21"/>
      <c r="Y81" s="35"/>
      <c r="Z81" s="2"/>
      <c r="AA81" s="36"/>
    </row>
    <row r="82" spans="1:27" ht="7" customHeight="1" x14ac:dyDescent="0.35">
      <c r="B82" s="22"/>
      <c r="C82" s="21"/>
    </row>
    <row r="83" spans="1:27" ht="16.5" customHeight="1" x14ac:dyDescent="0.35">
      <c r="B83" s="34" t="s">
        <v>88</v>
      </c>
      <c r="C83" s="21"/>
    </row>
    <row r="84" spans="1:27" ht="16.5" customHeight="1" x14ac:dyDescent="0.35">
      <c r="B84" s="34" t="s">
        <v>123</v>
      </c>
      <c r="C84" s="21"/>
    </row>
    <row r="85" spans="1:27" ht="16.5" customHeight="1" x14ac:dyDescent="0.35">
      <c r="A85" s="30"/>
      <c r="B85" s="34" t="s">
        <v>94</v>
      </c>
    </row>
    <row r="86" spans="1:27" ht="16.5" customHeight="1" x14ac:dyDescent="0.35">
      <c r="A86" s="32"/>
      <c r="B86" s="34" t="s">
        <v>95</v>
      </c>
      <c r="C86" s="3"/>
    </row>
    <row r="87" spans="1:27" x14ac:dyDescent="0.35">
      <c r="A87" s="32"/>
      <c r="B87" s="44"/>
      <c r="C87" s="3"/>
    </row>
    <row r="88" spans="1:27" x14ac:dyDescent="0.35">
      <c r="B88" s="20" t="s">
        <v>107</v>
      </c>
      <c r="C88" s="3"/>
    </row>
    <row r="89" spans="1:27" ht="7" customHeight="1" x14ac:dyDescent="0.35">
      <c r="B89" s="22"/>
      <c r="C89" s="21"/>
    </row>
    <row r="90" spans="1:27" x14ac:dyDescent="0.35">
      <c r="A90" s="43" t="s">
        <v>119</v>
      </c>
      <c r="B90" s="34"/>
      <c r="C90" s="21"/>
    </row>
    <row r="91" spans="1:27" x14ac:dyDescent="0.35">
      <c r="A91" s="43" t="s">
        <v>120</v>
      </c>
      <c r="B91" s="34"/>
      <c r="C91" s="21"/>
    </row>
    <row r="92" spans="1:27" x14ac:dyDescent="0.35">
      <c r="A92" s="43" t="s">
        <v>121</v>
      </c>
      <c r="B92" s="34"/>
      <c r="C92" s="21"/>
    </row>
    <row r="93" spans="1:27" x14ac:dyDescent="0.35">
      <c r="A93" s="43"/>
      <c r="B93" s="34"/>
      <c r="C93" s="21"/>
    </row>
    <row r="94" spans="1:27" x14ac:dyDescent="0.35">
      <c r="B94" s="20" t="s">
        <v>81</v>
      </c>
      <c r="C94" s="3"/>
    </row>
    <row r="95" spans="1:27" ht="7" customHeight="1" x14ac:dyDescent="0.35">
      <c r="B95" s="22"/>
      <c r="C95" s="21"/>
    </row>
    <row r="96" spans="1:27" x14ac:dyDescent="0.35">
      <c r="A96" s="43" t="s">
        <v>100</v>
      </c>
      <c r="B96" s="34"/>
      <c r="C96" s="21"/>
    </row>
    <row r="97" spans="1:4" x14ac:dyDescent="0.35">
      <c r="A97" s="43" t="s">
        <v>101</v>
      </c>
      <c r="B97" s="34"/>
      <c r="C97" s="21"/>
    </row>
    <row r="98" spans="1:4" x14ac:dyDescent="0.35">
      <c r="A98" s="43" t="s">
        <v>102</v>
      </c>
      <c r="B98" s="34"/>
      <c r="C98" s="21"/>
    </row>
    <row r="99" spans="1:4" x14ac:dyDescent="0.35">
      <c r="B99" s="23"/>
      <c r="C99" s="3"/>
    </row>
    <row r="100" spans="1:4" x14ac:dyDescent="0.35">
      <c r="B100" s="20" t="s">
        <v>79</v>
      </c>
      <c r="C100" s="24"/>
      <c r="D100" s="25"/>
    </row>
    <row r="101" spans="1:4" ht="7" customHeight="1" x14ac:dyDescent="0.35">
      <c r="B101" s="22"/>
      <c r="C101" s="21"/>
    </row>
    <row r="102" spans="1:4" x14ac:dyDescent="0.35">
      <c r="A102" s="42" t="s">
        <v>103</v>
      </c>
      <c r="B102" s="34"/>
      <c r="C102" s="21"/>
    </row>
    <row r="103" spans="1:4" x14ac:dyDescent="0.35">
      <c r="A103" s="42" t="s">
        <v>104</v>
      </c>
      <c r="B103" s="34"/>
      <c r="C103" s="21"/>
    </row>
    <row r="104" spans="1:4" x14ac:dyDescent="0.35">
      <c r="A104" s="42" t="s">
        <v>105</v>
      </c>
      <c r="B104" s="34"/>
      <c r="C104" s="21"/>
    </row>
    <row r="105" spans="1:4" x14ac:dyDescent="0.35">
      <c r="B105" s="18"/>
      <c r="C105" s="18"/>
      <c r="D105" s="8"/>
    </row>
    <row r="106" spans="1:4" x14ac:dyDescent="0.35">
      <c r="B106" s="20" t="s">
        <v>80</v>
      </c>
      <c r="C106" s="3"/>
    </row>
    <row r="107" spans="1:4" ht="7" customHeight="1" x14ac:dyDescent="0.35">
      <c r="B107" s="22"/>
      <c r="C107" s="21"/>
    </row>
    <row r="108" spans="1:4" x14ac:dyDescent="0.35">
      <c r="A108" s="42"/>
      <c r="B108" s="42" t="s">
        <v>122</v>
      </c>
      <c r="C108" s="21"/>
    </row>
    <row r="109" spans="1:4" x14ac:dyDescent="0.35">
      <c r="B109" s="21"/>
      <c r="C109" s="3"/>
    </row>
  </sheetData>
  <mergeCells count="9">
    <mergeCell ref="B34:B37"/>
    <mergeCell ref="C34:Y34"/>
    <mergeCell ref="Z34:AB34"/>
    <mergeCell ref="AC34:AE35"/>
    <mergeCell ref="C35:G35"/>
    <mergeCell ref="H35:N35"/>
    <mergeCell ref="O35:S35"/>
    <mergeCell ref="T35:Y35"/>
    <mergeCell ref="AA35:AB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E033-1FAC-44C5-BD11-7D2FDDAF018D}">
  <dimension ref="B3"/>
  <sheetViews>
    <sheetView showGridLines="0" workbookViewId="0">
      <selection activeCell="B4" sqref="B4"/>
    </sheetView>
  </sheetViews>
  <sheetFormatPr baseColWidth="10" defaultRowHeight="14.5" x14ac:dyDescent="0.35"/>
  <sheetData>
    <row r="3" spans="2:2" x14ac:dyDescent="0.35">
      <c r="B3" s="3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324.04</vt:lpstr>
      <vt:lpstr>Base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2021-09-13T17:51:55Z</cp:lastPrinted>
  <dcterms:created xsi:type="dcterms:W3CDTF">2019-11-07T15:52:46Z</dcterms:created>
  <dcterms:modified xsi:type="dcterms:W3CDTF">2026-04-17T03:37:12Z</dcterms:modified>
</cp:coreProperties>
</file>