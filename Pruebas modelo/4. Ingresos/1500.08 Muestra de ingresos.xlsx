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784DA78E-52FC-420D-8949-85DABA7787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500.08.01" sheetId="1" r:id="rId1"/>
    <sheet name="1500.08.02 " sheetId="2" r:id="rId2"/>
    <sheet name="Tabla de precio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GSc+F1WT8seiktqMi2VmF/w9mwUkO5Xpe9gKUhKdEw="/>
    </ext>
  </extLst>
</workbook>
</file>

<file path=xl/calcChain.xml><?xml version="1.0" encoding="utf-8"?>
<calcChain xmlns="http://schemas.openxmlformats.org/spreadsheetml/2006/main">
  <c r="X51" i="2" l="1"/>
  <c r="AA51" i="2"/>
  <c r="AJ51" i="2"/>
  <c r="AP51" i="2"/>
  <c r="AP44" i="2"/>
  <c r="AP43" i="2"/>
  <c r="AO42" i="2"/>
  <c r="AO51" i="2"/>
  <c r="AX51" i="2"/>
  <c r="AK41" i="2"/>
  <c r="AJ41" i="2"/>
  <c r="AH41" i="2"/>
  <c r="AF41" i="2"/>
  <c r="J51" i="2"/>
  <c r="AP49" i="2"/>
  <c r="AP48" i="2"/>
  <c r="AP47" i="2"/>
  <c r="AP46" i="2"/>
  <c r="AP45" i="2"/>
  <c r="AP42" i="2"/>
  <c r="AP41" i="2"/>
  <c r="AO41" i="2"/>
  <c r="AO49" i="2"/>
  <c r="AO48" i="2"/>
  <c r="AO47" i="2"/>
  <c r="AO46" i="2"/>
  <c r="AO45" i="2"/>
  <c r="AO44" i="2"/>
  <c r="AO43" i="2"/>
  <c r="Z49" i="2"/>
  <c r="AA49" i="2" s="1"/>
  <c r="Z48" i="2"/>
  <c r="AA48" i="2" s="1"/>
  <c r="Z47" i="2"/>
  <c r="AA47" i="2" s="1"/>
  <c r="Z46" i="2"/>
  <c r="AA46" i="2" s="1"/>
  <c r="Z45" i="2"/>
  <c r="AA45" i="2" s="1"/>
  <c r="Z44" i="2"/>
  <c r="AA44" i="2" s="1"/>
  <c r="Z43" i="2"/>
  <c r="AA43" i="2" s="1"/>
  <c r="Z42" i="2"/>
  <c r="AA42" i="2" s="1"/>
  <c r="Z41" i="2"/>
  <c r="AA41" i="2" s="1"/>
  <c r="X49" i="2" l="1"/>
  <c r="X48" i="2"/>
  <c r="X47" i="2"/>
  <c r="X46" i="2"/>
  <c r="X45" i="2"/>
  <c r="X44" i="2"/>
  <c r="X43" i="2"/>
  <c r="X42" i="2"/>
  <c r="X41" i="2"/>
  <c r="I51" i="2"/>
  <c r="AK49" i="2"/>
  <c r="AF49" i="2"/>
  <c r="V49" i="2"/>
  <c r="AK48" i="2"/>
  <c r="AF48" i="2"/>
  <c r="V48" i="2"/>
  <c r="AK47" i="2"/>
  <c r="AF47" i="2"/>
  <c r="V47" i="2"/>
  <c r="AK46" i="2"/>
  <c r="AF46" i="2"/>
  <c r="V46" i="2"/>
  <c r="AK45" i="2"/>
  <c r="AF45" i="2"/>
  <c r="V45" i="2"/>
  <c r="AK44" i="2"/>
  <c r="AF44" i="2"/>
  <c r="V44" i="2"/>
  <c r="AK43" i="2"/>
  <c r="AF43" i="2"/>
  <c r="V43" i="2"/>
  <c r="AK42" i="2"/>
  <c r="AF42" i="2"/>
  <c r="V42" i="2"/>
  <c r="V41" i="2"/>
  <c r="AH45" i="2" l="1"/>
  <c r="AH49" i="2"/>
  <c r="AJ49" i="2" s="1"/>
  <c r="W41" i="2"/>
  <c r="W44" i="2"/>
  <c r="W48" i="2"/>
  <c r="W43" i="2"/>
  <c r="W47" i="2"/>
  <c r="W42" i="2"/>
  <c r="AW42" i="2" s="1"/>
  <c r="AX42" i="2" s="1"/>
  <c r="W46" i="2"/>
  <c r="AH42" i="2"/>
  <c r="AJ42" i="2" s="1"/>
  <c r="AH43" i="2"/>
  <c r="AW43" i="2" s="1"/>
  <c r="AX43" i="2" s="1"/>
  <c r="AH44" i="2"/>
  <c r="AJ44" i="2" s="1"/>
  <c r="AH46" i="2"/>
  <c r="AJ46" i="2" s="1"/>
  <c r="AH47" i="2"/>
  <c r="AJ47" i="2" s="1"/>
  <c r="AH48" i="2"/>
  <c r="AJ48" i="2" s="1"/>
  <c r="AJ45" i="2"/>
  <c r="W45" i="2"/>
  <c r="AW45" i="2" s="1"/>
  <c r="AX45" i="2" s="1"/>
  <c r="W49" i="2"/>
  <c r="AJ43" i="2" l="1"/>
  <c r="AW44" i="2"/>
  <c r="AX44" i="2" s="1"/>
  <c r="AW49" i="2"/>
  <c r="AX49" i="2" s="1"/>
  <c r="AW48" i="2"/>
  <c r="AX48" i="2" s="1"/>
  <c r="AW46" i="2"/>
  <c r="AX46" i="2" s="1"/>
  <c r="AW47" i="2"/>
  <c r="AX47" i="2" s="1"/>
  <c r="AW41" i="2"/>
  <c r="AX41" i="2" s="1"/>
</calcChain>
</file>

<file path=xl/sharedStrings.xml><?xml version="1.0" encoding="utf-8"?>
<sst xmlns="http://schemas.openxmlformats.org/spreadsheetml/2006/main" count="176" uniqueCount="117">
  <si>
    <t>Preparado por:</t>
  </si>
  <si>
    <t>Revisado por:</t>
  </si>
  <si>
    <t>Ref.</t>
  </si>
  <si>
    <t>XX</t>
  </si>
  <si>
    <t>1500.08.01</t>
  </si>
  <si>
    <t>COMPAÑÍA MODELO S.A.</t>
  </si>
  <si>
    <t>MUESTRA DE INGRESOS - DE PRUEBAS SUSTANTIVAS</t>
  </si>
  <si>
    <t>AL 31 DE DICIEMBRE DE 20XX</t>
  </si>
  <si>
    <t>FECHA DE CORTE: _/_/20XX</t>
  </si>
  <si>
    <t>Objetivo:</t>
  </si>
  <si>
    <t xml:space="preserve">Obtener una muestra de ingresos a ser analizado por voucheo. </t>
  </si>
  <si>
    <t>Base de decisión: Materialidad</t>
  </si>
  <si>
    <t>Preliminar</t>
  </si>
  <si>
    <t xml:space="preserve">Final </t>
  </si>
  <si>
    <t>General</t>
  </si>
  <si>
    <t>XXX.XXX</t>
  </si>
  <si>
    <t>Desempeño</t>
  </si>
  <si>
    <t>Errores Triviales</t>
  </si>
  <si>
    <t>Procedimientos:</t>
  </si>
  <si>
    <t>1.-</t>
  </si>
  <si>
    <t>Solicitar a la Compañía la base de facturación al _/_/20XX</t>
  </si>
  <si>
    <t>2.-</t>
  </si>
  <si>
    <t>Documentar el juicio profesional aplicado para la selección de la muestra.</t>
  </si>
  <si>
    <t>3.-</t>
  </si>
  <si>
    <t>Determinar las partidas seleccionadas.</t>
  </si>
  <si>
    <t>4.-</t>
  </si>
  <si>
    <t>Documentar el papel de trabajo y concluir en base al objetivo.</t>
  </si>
  <si>
    <t>Desarrollo:</t>
  </si>
  <si>
    <t xml:space="preserve">*** El auditor dejará documentado como seleccionó la muestra. </t>
  </si>
  <si>
    <t>Marcas de auditoría:</t>
  </si>
  <si>
    <t>Verificaciones: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</si>
  <si>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</si>
  <si>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</si>
  <si>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</si>
  <si>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</si>
  <si>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</si>
  <si>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</si>
  <si>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</si>
  <si>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</si>
  <si>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</si>
  <si>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</si>
  <si>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</si>
  <si>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</si>
  <si>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***Concluir en función al objetivo</t>
  </si>
  <si>
    <t>1500.08.02</t>
  </si>
  <si>
    <t xml:space="preserve">PRUEBA SUSTANTIVA INGRESOS </t>
  </si>
  <si>
    <t>Determinar la existencia y exactitud de la cuenta de ingresos al _/_/20XX</t>
  </si>
  <si>
    <r>
      <rPr>
        <sz val="10"/>
        <color theme="1"/>
        <rFont val="Tahoma"/>
        <family val="2"/>
      </rPr>
      <t xml:space="preserve">Solicitar los documentos soporte de la muestra obtenida en </t>
    </r>
    <r>
      <rPr>
        <sz val="10"/>
        <color rgb="FFFF0000"/>
        <rFont val="Tahoma"/>
        <family val="2"/>
      </rPr>
      <t>p/t 1500.08.01</t>
    </r>
  </si>
  <si>
    <t xml:space="preserve">Realizar los recálculos en los casos que aplique </t>
  </si>
  <si>
    <t xml:space="preserve">Cotejar con los saldos registrados </t>
  </si>
  <si>
    <t xml:space="preserve">Desarrollo: </t>
  </si>
  <si>
    <t xml:space="preserve">Muestreo </t>
  </si>
  <si>
    <t>Existencia</t>
  </si>
  <si>
    <t>Exactitud</t>
  </si>
  <si>
    <t xml:space="preserve">Cumplimiento tributario </t>
  </si>
  <si>
    <t xml:space="preserve">Bancarización </t>
  </si>
  <si>
    <t xml:space="preserve">Muestra seleccionada </t>
  </si>
  <si>
    <t xml:space="preserve">Factura </t>
  </si>
  <si>
    <t xml:space="preserve">Cálculo de retención </t>
  </si>
  <si>
    <t xml:space="preserve">Según comprobante </t>
  </si>
  <si>
    <t xml:space="preserve">Comprobante de ingreso </t>
  </si>
  <si>
    <t xml:space="preserve">Fecha </t>
  </si>
  <si>
    <t>RUC</t>
  </si>
  <si>
    <t xml:space="preserve">Nro. documento </t>
  </si>
  <si>
    <t xml:space="preserve">Nombre cliente </t>
  </si>
  <si>
    <t xml:space="preserve">Detalle </t>
  </si>
  <si>
    <t xml:space="preserve">Subtotal </t>
  </si>
  <si>
    <t xml:space="preserve">IVA </t>
  </si>
  <si>
    <t xml:space="preserve">Total </t>
  </si>
  <si>
    <t>Nombre del cliente</t>
  </si>
  <si>
    <t>Fecha</t>
  </si>
  <si>
    <t>Subtotal 0%</t>
  </si>
  <si>
    <t>Subtotal 12%</t>
  </si>
  <si>
    <t xml:space="preserve">Diferencia </t>
  </si>
  <si>
    <t>% Renta</t>
  </si>
  <si>
    <t>Valor renta</t>
  </si>
  <si>
    <t>% IVA</t>
  </si>
  <si>
    <t>Valor IVA</t>
  </si>
  <si>
    <t>Diferencia</t>
  </si>
  <si>
    <t>Días de retraso</t>
  </si>
  <si>
    <t xml:space="preserve">Nro. de comprobante </t>
  </si>
  <si>
    <t xml:space="preserve">Nro. de operación </t>
  </si>
  <si>
    <t xml:space="preserve">Cobro según auditoría </t>
  </si>
  <si>
    <t xml:space="preserve">***El formato depende de la base de facturación proporcionada </t>
  </si>
  <si>
    <t>***El número de filas depende de la muestra seleccionada</t>
  </si>
  <si>
    <t>p/t 1500.08.01</t>
  </si>
  <si>
    <t>Información proporcionada por el cliente</t>
  </si>
  <si>
    <t xml:space="preserve">Documentación de sustento </t>
  </si>
  <si>
    <t>Cálculos de Auditoría</t>
  </si>
  <si>
    <t>Sumatoria</t>
  </si>
  <si>
    <t xml:space="preserve">Valor según comprobante </t>
  </si>
  <si>
    <t>Código del artículo</t>
  </si>
  <si>
    <t>Cantidad</t>
  </si>
  <si>
    <t>Nombre del artículo</t>
  </si>
  <si>
    <t>***Incluir la tabla de precios proporcionada por la Compañía.</t>
  </si>
  <si>
    <t>5.-</t>
  </si>
  <si>
    <t>Solicitar la tabla de precios estandarizados por la Compañía.</t>
  </si>
  <si>
    <t>6.-</t>
  </si>
  <si>
    <t>Solicitar el kardex al _/_/20XX</t>
  </si>
  <si>
    <t>Verificar que el precio de venta al cliente sea igual al establecido por la Compañía.</t>
  </si>
  <si>
    <t>Verificar que el costo de la venta realizada corresponda al que consta en el kardex.</t>
  </si>
  <si>
    <t>7.-</t>
  </si>
  <si>
    <t>8.-</t>
  </si>
  <si>
    <t xml:space="preserve">Precio según tabla de precios </t>
  </si>
  <si>
    <t xml:space="preserve">***Realizar el buscarv con la tabla de precios e identificar el precio unitario por artículo </t>
  </si>
  <si>
    <t xml:space="preserve">Valor según auditoría </t>
  </si>
  <si>
    <t>Kárdex</t>
  </si>
  <si>
    <t>Diferencia en cantidad</t>
  </si>
  <si>
    <t>Diferencia en valor</t>
  </si>
  <si>
    <t>Valor de kardex (salida)</t>
  </si>
  <si>
    <t xml:space="preserve">Valor  unitario </t>
  </si>
  <si>
    <t>Valor del costo de ventas según mayor contable</t>
  </si>
  <si>
    <t>Tomado de mayores contables al 31/xx/20xx (Año de revisión)</t>
  </si>
  <si>
    <t>9.-</t>
  </si>
  <si>
    <t>Solicitar los mayores contables al _/_/20XX</t>
  </si>
  <si>
    <t xml:space="preserve">Análsis de auditoría </t>
  </si>
  <si>
    <t>Forma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</si>
</sst>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_-;\-* #,##0.00_-;_-* &quot;-&quot;??_-;_-@_-"/>
    <numFmt numFmtId="165" formatCode="_ * #,##0_ ;_ * \-#,##0_ ;_ * &quot;-&quot;??_ ;_ @_ "/>
    <numFmt numFmtId="166" formatCode="_ * #,##0.0_ ;_ * \-#,##0.0_ ;_ * &quot;-&quot;??_ ;_ @_ "/>
    <numFmt numFmtId="167" formatCode="_(* #,##0_);_(* \(#,##0\);_(* &quot;-&quot;_);_(@_)"/>
    <numFmt numFmtId="168" formatCode="_(* #,##0_);_(* \(#,##0\);_(* &quot;-&quot;??_);_(@_)"/>
  </numFmts>
  <fonts count="18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rgb="FF44546A"/>
      <name val="Tahoma"/>
      <family val="2"/>
    </font>
    <font>
      <b/>
      <sz val="10"/>
      <color rgb="FFFF0000"/>
      <name val="Tahoma"/>
      <family val="2"/>
    </font>
    <font>
      <b/>
      <sz val="10"/>
      <color rgb="FF1E4E79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b/>
      <sz val="10"/>
      <color rgb="FFFFFFFF"/>
      <name val="Tahoma"/>
      <family val="2"/>
    </font>
    <font>
      <b/>
      <u/>
      <sz val="10"/>
      <color rgb="FF0000FF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2F5496"/>
        <bgColor rgb="FF2F5496"/>
      </patternFill>
    </fill>
    <fill>
      <patternFill patternType="solid">
        <fgColor rgb="FF9CC2E5"/>
        <bgColor rgb="FF9CC2E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D9E2F3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5" fillId="0" borderId="0" applyFont="0" applyFill="0" applyBorder="0" applyAlignment="0" applyProtection="0"/>
    <xf numFmtId="0" fontId="16" fillId="0" borderId="1"/>
  </cellStyleXfs>
  <cellXfs count="122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43" fontId="1" fillId="0" borderId="0" xfId="0" applyNumberFormat="1" applyFont="1"/>
    <xf numFmtId="165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0" fontId="1" fillId="0" borderId="6" xfId="0" applyFont="1" applyBorder="1"/>
    <xf numFmtId="0" fontId="7" fillId="0" borderId="0" xfId="0" applyFont="1"/>
    <xf numFmtId="14" fontId="6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9" fillId="0" borderId="0" xfId="0" applyFont="1"/>
    <xf numFmtId="0" fontId="3" fillId="2" borderId="1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1" fillId="0" borderId="0" xfId="0" applyNumberFormat="1" applyFo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15" fontId="2" fillId="3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8" fontId="2" fillId="3" borderId="3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43" fontId="2" fillId="3" borderId="3" xfId="0" applyNumberFormat="1" applyFont="1" applyFill="1" applyBorder="1" applyAlignment="1">
      <alignment horizontal="center" vertical="center" wrapText="1"/>
    </xf>
    <xf numFmtId="43" fontId="2" fillId="3" borderId="2" xfId="0" applyNumberFormat="1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/>
    <xf numFmtId="49" fontId="1" fillId="0" borderId="3" xfId="0" applyNumberFormat="1" applyFont="1" applyBorder="1"/>
    <xf numFmtId="14" fontId="1" fillId="0" borderId="3" xfId="0" applyNumberFormat="1" applyFont="1" applyBorder="1"/>
    <xf numFmtId="165" fontId="1" fillId="0" borderId="3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9" fontId="1" fillId="0" borderId="3" xfId="0" applyNumberFormat="1" applyFont="1" applyBorder="1"/>
    <xf numFmtId="43" fontId="1" fillId="0" borderId="3" xfId="0" applyNumberFormat="1" applyFont="1" applyBorder="1"/>
    <xf numFmtId="1" fontId="9" fillId="0" borderId="3" xfId="0" applyNumberFormat="1" applyFont="1" applyBorder="1"/>
    <xf numFmtId="1" fontId="1" fillId="0" borderId="0" xfId="0" applyNumberFormat="1" applyFont="1"/>
    <xf numFmtId="49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65" fontId="6" fillId="0" borderId="12" xfId="0" applyNumberFormat="1" applyFont="1" applyBorder="1"/>
    <xf numFmtId="0" fontId="6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43" fontId="2" fillId="3" borderId="7" xfId="0" applyNumberFormat="1" applyFont="1" applyFill="1" applyBorder="1" applyAlignment="1">
      <alignment horizontal="center" vertical="center" wrapText="1"/>
    </xf>
    <xf numFmtId="165" fontId="1" fillId="0" borderId="7" xfId="0" applyNumberFormat="1" applyFont="1" applyBorder="1"/>
    <xf numFmtId="0" fontId="2" fillId="0" borderId="1" xfId="0" applyFont="1" applyBorder="1"/>
    <xf numFmtId="43" fontId="2" fillId="3" borderId="13" xfId="0" applyNumberFormat="1" applyFont="1" applyFill="1" applyBorder="1" applyAlignment="1">
      <alignment horizontal="center" vertical="center" wrapText="1"/>
    </xf>
    <xf numFmtId="165" fontId="1" fillId="0" borderId="13" xfId="0" applyNumberFormat="1" applyFont="1" applyBorder="1"/>
    <xf numFmtId="0" fontId="11" fillId="0" borderId="1" xfId="0" applyFont="1" applyBorder="1"/>
    <xf numFmtId="165" fontId="1" fillId="0" borderId="1" xfId="0" applyNumberFormat="1" applyFont="1" applyBorder="1"/>
    <xf numFmtId="0" fontId="9" fillId="0" borderId="0" xfId="0" applyFont="1" applyAlignment="1"/>
    <xf numFmtId="165" fontId="1" fillId="0" borderId="15" xfId="0" applyNumberFormat="1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7" borderId="13" xfId="2" applyFont="1" applyFill="1" applyBorder="1" applyAlignment="1">
      <alignment horizontal="center" vertical="center" wrapText="1"/>
    </xf>
    <xf numFmtId="165" fontId="17" fillId="0" borderId="13" xfId="1" applyNumberFormat="1" applyFont="1" applyFill="1" applyBorder="1" applyAlignment="1">
      <alignment horizontal="center"/>
    </xf>
    <xf numFmtId="168" fontId="2" fillId="3" borderId="7" xfId="0" applyNumberFormat="1" applyFont="1" applyFill="1" applyBorder="1" applyAlignment="1">
      <alignment horizontal="center" vertical="center" wrapText="1"/>
    </xf>
    <xf numFmtId="1" fontId="1" fillId="0" borderId="7" xfId="0" applyNumberFormat="1" applyFont="1" applyBorder="1"/>
    <xf numFmtId="15" fontId="2" fillId="3" borderId="13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165" fontId="1" fillId="0" borderId="16" xfId="0" applyNumberFormat="1" applyFont="1" applyBorder="1"/>
    <xf numFmtId="0" fontId="2" fillId="3" borderId="13" xfId="0" applyFont="1" applyFill="1" applyBorder="1" applyAlignment="1">
      <alignment vertical="center" wrapText="1"/>
    </xf>
    <xf numFmtId="165" fontId="4" fillId="0" borderId="16" xfId="0" applyNumberFormat="1" applyFont="1" applyBorder="1"/>
    <xf numFmtId="165" fontId="9" fillId="0" borderId="24" xfId="0" applyNumberFormat="1" applyFont="1" applyBorder="1"/>
    <xf numFmtId="0" fontId="10" fillId="4" borderId="1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167" fontId="2" fillId="5" borderId="7" xfId="0" applyNumberFormat="1" applyFont="1" applyFill="1" applyBorder="1" applyAlignment="1">
      <alignment horizontal="center" vertical="center" wrapText="1"/>
    </xf>
    <xf numFmtId="167" fontId="2" fillId="5" borderId="7" xfId="0" applyNumberFormat="1" applyFont="1" applyFill="1" applyBorder="1" applyAlignment="1">
      <alignment horizontal="center" vertical="center"/>
    </xf>
    <xf numFmtId="0" fontId="11" fillId="0" borderId="10" xfId="0" applyFont="1" applyBorder="1"/>
    <xf numFmtId="0" fontId="2" fillId="5" borderId="7" xfId="0" applyFont="1" applyFill="1" applyBorder="1" applyAlignment="1">
      <alignment horizontal="center" vertical="center"/>
    </xf>
    <xf numFmtId="0" fontId="11" fillId="0" borderId="11" xfId="0" applyFont="1" applyBorder="1"/>
    <xf numFmtId="49" fontId="2" fillId="5" borderId="7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 3 2 5" xfId="2" xr:uid="{C4504A68-3444-446A-80A6-0F826D6453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30</xdr:row>
      <xdr:rowOff>114300</xdr:rowOff>
    </xdr:from>
    <xdr:ext cx="200025" cy="2209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0750" y="2679863"/>
          <a:ext cx="190500" cy="22002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485774</xdr:colOff>
      <xdr:row>35</xdr:row>
      <xdr:rowOff>95250</xdr:rowOff>
    </xdr:from>
    <xdr:ext cx="219075" cy="20955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4" y="5111750"/>
          <a:ext cx="21907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303934</xdr:colOff>
      <xdr:row>53</xdr:row>
      <xdr:rowOff>75334</xdr:rowOff>
    </xdr:from>
    <xdr:ext cx="173182" cy="173182"/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3934" y="7962034"/>
          <a:ext cx="173182" cy="173182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623914</xdr:colOff>
      <xdr:row>35</xdr:row>
      <xdr:rowOff>75466</xdr:rowOff>
    </xdr:from>
    <xdr:ext cx="196797" cy="204669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117164" y="5091966"/>
          <a:ext cx="196797" cy="204669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54</xdr:row>
      <xdr:rowOff>142875</xdr:rowOff>
    </xdr:from>
    <xdr:ext cx="190500" cy="180975"/>
    <xdr:pic>
      <xdr:nvPicPr>
        <xdr:cNvPr id="18" name="image9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165100</xdr:colOff>
      <xdr:row>35</xdr:row>
      <xdr:rowOff>79375</xdr:rowOff>
    </xdr:from>
    <xdr:ext cx="219075" cy="228600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361900" y="5095875"/>
          <a:ext cx="2190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344789</xdr:colOff>
      <xdr:row>35</xdr:row>
      <xdr:rowOff>85565</xdr:rowOff>
    </xdr:from>
    <xdr:ext cx="234347" cy="213043"/>
    <xdr:pic>
      <xdr:nvPicPr>
        <xdr:cNvPr id="20" name="image5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186739" y="5102065"/>
          <a:ext cx="234347" cy="213043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10824</xdr:colOff>
      <xdr:row>35</xdr:row>
      <xdr:rowOff>107216</xdr:rowOff>
    </xdr:from>
    <xdr:ext cx="216477" cy="204669"/>
    <xdr:pic>
      <xdr:nvPicPr>
        <xdr:cNvPr id="21" name="image4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449924" y="5123716"/>
          <a:ext cx="216477" cy="204669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9525</xdr:colOff>
      <xdr:row>35</xdr:row>
      <xdr:rowOff>85725</xdr:rowOff>
    </xdr:from>
    <xdr:ext cx="228600" cy="228600"/>
    <xdr:pic>
      <xdr:nvPicPr>
        <xdr:cNvPr id="22" name="image6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35</xdr:row>
      <xdr:rowOff>76200</xdr:rowOff>
    </xdr:from>
    <xdr:ext cx="219075" cy="228600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202650" y="5092700"/>
          <a:ext cx="2190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1082548</xdr:colOff>
      <xdr:row>50</xdr:row>
      <xdr:rowOff>17780</xdr:rowOff>
    </xdr:from>
    <xdr:ext cx="184404" cy="167640"/>
    <xdr:pic>
      <xdr:nvPicPr>
        <xdr:cNvPr id="24" name="image10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492998" y="7447280"/>
          <a:ext cx="184404" cy="16764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303530</xdr:colOff>
      <xdr:row>56</xdr:row>
      <xdr:rowOff>6350</xdr:rowOff>
    </xdr:from>
    <xdr:ext cx="167640" cy="152400"/>
    <xdr:pic>
      <xdr:nvPicPr>
        <xdr:cNvPr id="25" name="image12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03530" y="8280400"/>
          <a:ext cx="16764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311150</xdr:colOff>
      <xdr:row>57</xdr:row>
      <xdr:rowOff>19050</xdr:rowOff>
    </xdr:from>
    <xdr:ext cx="152400" cy="152400"/>
    <xdr:pic>
      <xdr:nvPicPr>
        <xdr:cNvPr id="26" name="image11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11150" y="8445500"/>
          <a:ext cx="152400" cy="1524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184149</xdr:colOff>
      <xdr:row>36</xdr:row>
      <xdr:rowOff>31750</xdr:rowOff>
    </xdr:from>
    <xdr:to>
      <xdr:col>8</xdr:col>
      <xdr:colOff>755650</xdr:colOff>
      <xdr:row>36</xdr:row>
      <xdr:rowOff>47625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4C038961-53ED-40B5-A4F2-3B8E2D51D1F9}"/>
            </a:ext>
          </a:extLst>
        </xdr:cNvPr>
        <xdr:cNvCxnSpPr>
          <a:stCxn id="15" idx="3"/>
        </xdr:cNvCxnSpPr>
      </xdr:nvCxnSpPr>
      <xdr:spPr>
        <a:xfrm flipV="1">
          <a:off x="704849" y="5200650"/>
          <a:ext cx="9131301" cy="15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36</xdr:row>
      <xdr:rowOff>6350</xdr:rowOff>
    </xdr:from>
    <xdr:to>
      <xdr:col>22</xdr:col>
      <xdr:colOff>730250</xdr:colOff>
      <xdr:row>36</xdr:row>
      <xdr:rowOff>19050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CDF4A68-97CD-4C53-B18E-B2F01A57EB96}"/>
            </a:ext>
          </a:extLst>
        </xdr:cNvPr>
        <xdr:cNvCxnSpPr/>
      </xdr:nvCxnSpPr>
      <xdr:spPr>
        <a:xfrm flipV="1">
          <a:off x="10128250" y="5175250"/>
          <a:ext cx="10985500" cy="12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238125</xdr:colOff>
      <xdr:row>36</xdr:row>
      <xdr:rowOff>38100</xdr:rowOff>
    </xdr:from>
    <xdr:to>
      <xdr:col>26</xdr:col>
      <xdr:colOff>749300</xdr:colOff>
      <xdr:row>36</xdr:row>
      <xdr:rowOff>38100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CB2099FF-9358-4AFB-985C-C634F75E97AE}"/>
            </a:ext>
          </a:extLst>
        </xdr:cNvPr>
        <xdr:cNvCxnSpPr>
          <a:stCxn id="23" idx="3"/>
        </xdr:cNvCxnSpPr>
      </xdr:nvCxnSpPr>
      <xdr:spPr>
        <a:xfrm>
          <a:off x="21421725" y="5207000"/>
          <a:ext cx="372427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180975</xdr:colOff>
      <xdr:row>36</xdr:row>
      <xdr:rowOff>38100</xdr:rowOff>
    </xdr:from>
    <xdr:to>
      <xdr:col>33</xdr:col>
      <xdr:colOff>793750</xdr:colOff>
      <xdr:row>36</xdr:row>
      <xdr:rowOff>38100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B9FF248F-3A89-45CF-BB84-8F6D67841C4D}"/>
            </a:ext>
          </a:extLst>
        </xdr:cNvPr>
        <xdr:cNvCxnSpPr/>
      </xdr:nvCxnSpPr>
      <xdr:spPr>
        <a:xfrm>
          <a:off x="25549225" y="5207000"/>
          <a:ext cx="528637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25400</xdr:colOff>
      <xdr:row>35</xdr:row>
      <xdr:rowOff>82550</xdr:rowOff>
    </xdr:from>
    <xdr:to>
      <xdr:col>35</xdr:col>
      <xdr:colOff>252536</xdr:colOff>
      <xdr:row>37</xdr:row>
      <xdr:rowOff>10177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156D7D8-517A-4358-A09C-7045A1F5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67450" y="5099050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252536</xdr:colOff>
      <xdr:row>36</xdr:row>
      <xdr:rowOff>46364</xdr:rowOff>
    </xdr:from>
    <xdr:to>
      <xdr:col>36</xdr:col>
      <xdr:colOff>755650</xdr:colOff>
      <xdr:row>36</xdr:row>
      <xdr:rowOff>50800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829F535D-6D7D-4C4F-986B-E8899BD16B84}"/>
            </a:ext>
          </a:extLst>
        </xdr:cNvPr>
        <xdr:cNvCxnSpPr>
          <a:stCxn id="36" idx="3"/>
        </xdr:cNvCxnSpPr>
      </xdr:nvCxnSpPr>
      <xdr:spPr>
        <a:xfrm>
          <a:off x="31894586" y="5215264"/>
          <a:ext cx="1303214" cy="443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238125</xdr:colOff>
      <xdr:row>36</xdr:row>
      <xdr:rowOff>38100</xdr:rowOff>
    </xdr:from>
    <xdr:to>
      <xdr:col>49</xdr:col>
      <xdr:colOff>1028700</xdr:colOff>
      <xdr:row>36</xdr:row>
      <xdr:rowOff>47625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E9DB6BE9-3C5C-47FB-AF8F-0DCB8A01E448}"/>
            </a:ext>
          </a:extLst>
        </xdr:cNvPr>
        <xdr:cNvCxnSpPr>
          <a:stCxn id="22" idx="3"/>
        </xdr:cNvCxnSpPr>
      </xdr:nvCxnSpPr>
      <xdr:spPr>
        <a:xfrm flipV="1">
          <a:off x="37931725" y="5207000"/>
          <a:ext cx="204152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212725</xdr:colOff>
      <xdr:row>36</xdr:row>
      <xdr:rowOff>60327</xdr:rowOff>
    </xdr:from>
    <xdr:to>
      <xdr:col>47</xdr:col>
      <xdr:colOff>844550</xdr:colOff>
      <xdr:row>36</xdr:row>
      <xdr:rowOff>63500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9485638B-1359-4D96-802A-B4D20D9803EF}"/>
            </a:ext>
          </a:extLst>
        </xdr:cNvPr>
        <xdr:cNvCxnSpPr/>
      </xdr:nvCxnSpPr>
      <xdr:spPr>
        <a:xfrm>
          <a:off x="33651825" y="5229227"/>
          <a:ext cx="3971925" cy="317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583327</xdr:colOff>
      <xdr:row>35</xdr:row>
      <xdr:rowOff>100727</xdr:rowOff>
    </xdr:from>
    <xdr:to>
      <xdr:col>9</xdr:col>
      <xdr:colOff>794624</xdr:colOff>
      <xdr:row>37</xdr:row>
      <xdr:rowOff>7224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BDF4169-C0F3-4C29-9E89-33FE5FDE5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6577" y="5117227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7938</xdr:colOff>
      <xdr:row>35</xdr:row>
      <xdr:rowOff>95246</xdr:rowOff>
    </xdr:from>
    <xdr:to>
      <xdr:col>40</xdr:col>
      <xdr:colOff>240365</xdr:colOff>
      <xdr:row>37</xdr:row>
      <xdr:rowOff>22873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9CA6D318-7D27-47CA-9AA5-F3A1B91EB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80188" y="4743446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253999</xdr:colOff>
      <xdr:row>36</xdr:row>
      <xdr:rowOff>63500</xdr:rowOff>
    </xdr:from>
    <xdr:to>
      <xdr:col>41</xdr:col>
      <xdr:colOff>1299061</xdr:colOff>
      <xdr:row>36</xdr:row>
      <xdr:rowOff>71438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B8FC3986-4788-40B9-B1CA-BB4F2DEA330D}"/>
            </a:ext>
          </a:extLst>
        </xdr:cNvPr>
        <xdr:cNvCxnSpPr/>
      </xdr:nvCxnSpPr>
      <xdr:spPr>
        <a:xfrm flipV="1">
          <a:off x="32226249" y="4870450"/>
          <a:ext cx="2194412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227481</xdr:colOff>
      <xdr:row>35</xdr:row>
      <xdr:rowOff>97305</xdr:rowOff>
    </xdr:from>
    <xdr:to>
      <xdr:col>38</xdr:col>
      <xdr:colOff>212258</xdr:colOff>
      <xdr:row>37</xdr:row>
      <xdr:rowOff>24932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190B500-E7A2-46C0-B01A-BE4C067C8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3581" y="4961405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212258</xdr:colOff>
      <xdr:row>36</xdr:row>
      <xdr:rowOff>59060</xdr:rowOff>
    </xdr:from>
    <xdr:to>
      <xdr:col>40</xdr:col>
      <xdr:colOff>7938</xdr:colOff>
      <xdr:row>36</xdr:row>
      <xdr:rowOff>61119</xdr:rowOff>
    </xdr:to>
    <xdr:cxnSp macro="">
      <xdr:nvCxnSpPr>
        <xdr:cNvPr id="50" name="Conector recto de flecha 49">
          <a:extLst>
            <a:ext uri="{FF2B5EF4-FFF2-40B4-BE49-F238E27FC236}">
              <a16:creationId xmlns:a16="http://schemas.microsoft.com/office/drawing/2014/main" id="{4C8B07A8-C411-4C48-9011-31C339460A7D}"/>
            </a:ext>
          </a:extLst>
        </xdr:cNvPr>
        <xdr:cNvCxnSpPr>
          <a:cxnSpLocks/>
          <a:stCxn id="49" idx="3"/>
          <a:endCxn id="47" idx="1"/>
        </xdr:cNvCxnSpPr>
      </xdr:nvCxnSpPr>
      <xdr:spPr>
        <a:xfrm flipV="1">
          <a:off x="35296008" y="5075560"/>
          <a:ext cx="1783230" cy="205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290513</xdr:colOff>
      <xdr:row>57</xdr:row>
      <xdr:rowOff>144463</xdr:rowOff>
    </xdr:from>
    <xdr:to>
      <xdr:col>0</xdr:col>
      <xdr:colOff>465138</xdr:colOff>
      <xdr:row>59</xdr:row>
      <xdr:rowOff>14288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1F98335F-F828-4FF6-8300-C95602108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3" y="8723313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48</xdr:col>
      <xdr:colOff>984250</xdr:colOff>
      <xdr:row>50</xdr:row>
      <xdr:rowOff>0</xdr:rowOff>
    </xdr:from>
    <xdr:ext cx="192088" cy="192088"/>
    <xdr:pic>
      <xdr:nvPicPr>
        <xdr:cNvPr id="29" name="Imagen 28">
          <a:extLst>
            <a:ext uri="{FF2B5EF4-FFF2-40B4-BE49-F238E27FC236}">
              <a16:creationId xmlns:a16="http://schemas.microsoft.com/office/drawing/2014/main" id="{2995DC46-A9DB-4369-B9AD-22DF24031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4150" y="758190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927100</xdr:colOff>
      <xdr:row>50</xdr:row>
      <xdr:rowOff>0</xdr:rowOff>
    </xdr:from>
    <xdr:ext cx="192088" cy="192088"/>
    <xdr:pic>
      <xdr:nvPicPr>
        <xdr:cNvPr id="30" name="Imagen 29">
          <a:extLst>
            <a:ext uri="{FF2B5EF4-FFF2-40B4-BE49-F238E27FC236}">
              <a16:creationId xmlns:a16="http://schemas.microsoft.com/office/drawing/2014/main" id="{70AE6973-ED01-4B6C-B252-DBC92494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95100" y="758190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596900</xdr:colOff>
      <xdr:row>50</xdr:row>
      <xdr:rowOff>6350</xdr:rowOff>
    </xdr:from>
    <xdr:ext cx="192088" cy="192088"/>
    <xdr:pic>
      <xdr:nvPicPr>
        <xdr:cNvPr id="31" name="Imagen 30">
          <a:extLst>
            <a:ext uri="{FF2B5EF4-FFF2-40B4-BE49-F238E27FC236}">
              <a16:creationId xmlns:a16="http://schemas.microsoft.com/office/drawing/2014/main" id="{D3F0F7F7-2F8B-4C2F-A233-C813B4F0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16850" y="758825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977900</xdr:colOff>
      <xdr:row>50</xdr:row>
      <xdr:rowOff>6350</xdr:rowOff>
    </xdr:from>
    <xdr:ext cx="192088" cy="192088"/>
    <xdr:pic>
      <xdr:nvPicPr>
        <xdr:cNvPr id="33" name="Imagen 32">
          <a:extLst>
            <a:ext uri="{FF2B5EF4-FFF2-40B4-BE49-F238E27FC236}">
              <a16:creationId xmlns:a16="http://schemas.microsoft.com/office/drawing/2014/main" id="{F9CA1DD6-E9A9-4BF9-891D-AB8CEFC8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758825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584200</xdr:colOff>
      <xdr:row>49</xdr:row>
      <xdr:rowOff>82550</xdr:rowOff>
    </xdr:from>
    <xdr:ext cx="192088" cy="192088"/>
    <xdr:pic>
      <xdr:nvPicPr>
        <xdr:cNvPr id="35" name="Imagen 34">
          <a:extLst>
            <a:ext uri="{FF2B5EF4-FFF2-40B4-BE49-F238E27FC236}">
              <a16:creationId xmlns:a16="http://schemas.microsoft.com/office/drawing/2014/main" id="{3EEF0E77-18A9-4662-9DFE-2C34A80F2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5700" y="7575550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C37" sqref="C37"/>
    </sheetView>
  </sheetViews>
  <sheetFormatPr baseColWidth="10" defaultColWidth="14.453125" defaultRowHeight="15" customHeight="1" x14ac:dyDescent="0.35"/>
  <cols>
    <col min="1" max="1" width="7.08984375" customWidth="1"/>
    <col min="2" max="2" width="13.81640625" customWidth="1"/>
    <col min="3" max="3" width="14.81640625" customWidth="1"/>
    <col min="4" max="4" width="14.54296875" customWidth="1"/>
    <col min="5" max="5" width="11.81640625" customWidth="1"/>
    <col min="6" max="9" width="11.453125" customWidth="1"/>
    <col min="10" max="10" width="13" customWidth="1"/>
    <col min="11" max="12" width="11.453125" customWidth="1"/>
    <col min="13" max="13" width="15.453125" customWidth="1"/>
    <col min="14" max="14" width="15.7265625" customWidth="1"/>
    <col min="15" max="15" width="13.81640625" customWidth="1"/>
    <col min="16" max="16" width="14.81640625" customWidth="1"/>
    <col min="17" max="17" width="11.453125" customWidth="1"/>
    <col min="18" max="18" width="13.7265625" customWidth="1"/>
    <col min="19" max="19" width="13.81640625" customWidth="1"/>
    <col min="20" max="20" width="11.453125" customWidth="1"/>
    <col min="21" max="21" width="16.453125" customWidth="1"/>
    <col min="22" max="26" width="11.453125" customWidth="1"/>
  </cols>
  <sheetData>
    <row r="1" spans="1:26" ht="12" customHeight="1" x14ac:dyDescent="0.35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4"/>
      <c r="N1" s="5"/>
      <c r="O1" s="5"/>
      <c r="P1" s="5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5">
      <c r="A2" s="1"/>
      <c r="B2" s="6"/>
      <c r="C2" s="2"/>
      <c r="D2" s="2"/>
      <c r="E2" s="3"/>
      <c r="F2" s="2"/>
      <c r="G2" s="1"/>
      <c r="H2" s="1"/>
      <c r="I2" s="1"/>
      <c r="J2" s="1"/>
      <c r="K2" s="1"/>
      <c r="L2" s="1"/>
      <c r="M2" s="1"/>
      <c r="N2" s="5"/>
      <c r="O2" s="5"/>
      <c r="P2" s="5"/>
      <c r="Q2" s="1"/>
      <c r="R2" s="7" t="s">
        <v>0</v>
      </c>
      <c r="S2" s="7" t="s">
        <v>1</v>
      </c>
      <c r="T2" s="8" t="s">
        <v>2</v>
      </c>
      <c r="U2" s="9"/>
      <c r="V2" s="1"/>
      <c r="W2" s="1"/>
      <c r="X2" s="1"/>
      <c r="Y2" s="1"/>
      <c r="Z2" s="1"/>
    </row>
    <row r="3" spans="1:26" ht="12" customHeight="1" x14ac:dyDescent="0.35">
      <c r="A3" s="1"/>
      <c r="B3" s="10"/>
      <c r="C3" s="2"/>
      <c r="D3" s="2"/>
      <c r="E3" s="3"/>
      <c r="F3" s="2"/>
      <c r="G3" s="1"/>
      <c r="H3" s="1"/>
      <c r="I3" s="1"/>
      <c r="J3" s="1"/>
      <c r="K3" s="1"/>
      <c r="L3" s="1"/>
      <c r="M3" s="1"/>
      <c r="N3" s="5"/>
      <c r="O3" s="5"/>
      <c r="P3" s="5"/>
      <c r="Q3" s="1"/>
      <c r="R3" s="11" t="s">
        <v>3</v>
      </c>
      <c r="S3" s="12" t="s">
        <v>3</v>
      </c>
      <c r="T3" s="13" t="s">
        <v>4</v>
      </c>
      <c r="U3" s="14"/>
      <c r="V3" s="1"/>
      <c r="W3" s="1"/>
      <c r="X3" s="1"/>
      <c r="Y3" s="1"/>
      <c r="Z3" s="1"/>
    </row>
    <row r="4" spans="1:26" ht="12" customHeight="1" x14ac:dyDescent="0.35">
      <c r="A4" s="1"/>
      <c r="B4" s="2"/>
      <c r="C4" s="2"/>
      <c r="D4" s="2"/>
      <c r="E4" s="15"/>
      <c r="F4" s="16"/>
      <c r="G4" s="2"/>
      <c r="H4" s="2"/>
      <c r="I4" s="2"/>
      <c r="J4" s="2"/>
      <c r="K4" s="2"/>
      <c r="L4" s="2"/>
      <c r="M4" s="2"/>
      <c r="N4" s="5"/>
      <c r="O4" s="5"/>
      <c r="P4" s="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5">
      <c r="A5" s="1"/>
      <c r="B5" s="17" t="s">
        <v>5</v>
      </c>
      <c r="C5" s="17"/>
      <c r="D5" s="18"/>
      <c r="E5" s="19"/>
      <c r="F5" s="18"/>
      <c r="G5" s="18"/>
      <c r="H5" s="18"/>
      <c r="I5" s="18"/>
      <c r="J5" s="18"/>
      <c r="K5" s="18"/>
      <c r="L5" s="18"/>
      <c r="M5" s="18"/>
      <c r="N5" s="20"/>
      <c r="O5" s="20"/>
      <c r="P5" s="20"/>
      <c r="Q5" s="18"/>
      <c r="R5" s="18"/>
      <c r="S5" s="18"/>
      <c r="T5" s="18"/>
      <c r="U5" s="18"/>
      <c r="V5" s="1"/>
      <c r="W5" s="1"/>
      <c r="X5" s="1"/>
      <c r="Y5" s="1"/>
      <c r="Z5" s="1"/>
    </row>
    <row r="6" spans="1:26" ht="12" customHeight="1" x14ac:dyDescent="0.35">
      <c r="A6" s="1"/>
      <c r="B6" s="17" t="s">
        <v>6</v>
      </c>
      <c r="C6" s="17"/>
      <c r="D6" s="18"/>
      <c r="E6" s="19"/>
      <c r="F6" s="18"/>
      <c r="G6" s="18"/>
      <c r="H6" s="18"/>
      <c r="I6" s="18"/>
      <c r="J6" s="1"/>
      <c r="K6" s="1"/>
      <c r="L6" s="1"/>
      <c r="M6" s="1"/>
      <c r="N6" s="20"/>
      <c r="O6" s="20"/>
      <c r="P6" s="20"/>
      <c r="Q6" s="18"/>
      <c r="R6" s="18"/>
      <c r="S6" s="18"/>
      <c r="T6" s="18"/>
      <c r="U6" s="18"/>
      <c r="V6" s="1"/>
      <c r="W6" s="1"/>
      <c r="X6" s="1"/>
      <c r="Y6" s="1"/>
      <c r="Z6" s="1"/>
    </row>
    <row r="7" spans="1:26" ht="12" customHeight="1" x14ac:dyDescent="0.35">
      <c r="A7" s="1"/>
      <c r="B7" s="21" t="s">
        <v>7</v>
      </c>
      <c r="C7" s="17"/>
      <c r="D7" s="18"/>
      <c r="E7" s="19"/>
      <c r="F7" s="22"/>
      <c r="G7" s="18"/>
      <c r="H7" s="18"/>
      <c r="I7" s="18"/>
      <c r="J7" s="1"/>
      <c r="K7" s="1"/>
      <c r="L7" s="1"/>
      <c r="M7" s="1"/>
      <c r="N7" s="20"/>
      <c r="O7" s="20"/>
      <c r="P7" s="20"/>
      <c r="Q7" s="18"/>
      <c r="R7" s="18"/>
      <c r="S7" s="18"/>
      <c r="T7" s="18"/>
      <c r="U7" s="18"/>
      <c r="V7" s="1"/>
      <c r="W7" s="1"/>
      <c r="X7" s="1"/>
      <c r="Y7" s="1"/>
      <c r="Z7" s="1"/>
    </row>
    <row r="8" spans="1:26" ht="12" customHeight="1" x14ac:dyDescent="0.35">
      <c r="A8" s="1"/>
      <c r="B8" s="23" t="s">
        <v>8</v>
      </c>
      <c r="C8" s="17"/>
      <c r="D8" s="18"/>
      <c r="E8" s="19"/>
      <c r="F8" s="22"/>
      <c r="G8" s="18"/>
      <c r="H8" s="18"/>
      <c r="I8" s="18"/>
      <c r="J8" s="1"/>
      <c r="K8" s="1"/>
      <c r="L8" s="1"/>
      <c r="M8" s="1"/>
      <c r="N8" s="20"/>
      <c r="O8" s="20"/>
      <c r="P8" s="20"/>
      <c r="Q8" s="18"/>
      <c r="R8" s="18"/>
      <c r="S8" s="18"/>
      <c r="T8" s="18"/>
      <c r="U8" s="18"/>
      <c r="V8" s="1"/>
      <c r="W8" s="1"/>
      <c r="X8" s="1"/>
      <c r="Y8" s="1"/>
      <c r="Z8" s="1"/>
    </row>
    <row r="9" spans="1:26" ht="3" customHeight="1" x14ac:dyDescent="0.35">
      <c r="A9" s="1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1"/>
      <c r="V9" s="1"/>
      <c r="W9" s="1"/>
      <c r="X9" s="1"/>
      <c r="Y9" s="1"/>
      <c r="Z9" s="1"/>
    </row>
    <row r="10" spans="1:26" ht="12" customHeight="1" x14ac:dyDescent="0.35">
      <c r="A10" s="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1"/>
      <c r="W10" s="1"/>
      <c r="X10" s="1"/>
      <c r="Y10" s="1"/>
      <c r="Z10" s="1"/>
    </row>
    <row r="11" spans="1:26" ht="12" customHeight="1" x14ac:dyDescent="0.35">
      <c r="A11" s="1"/>
      <c r="B11" s="25" t="s">
        <v>9</v>
      </c>
      <c r="C11" s="22"/>
      <c r="D11" s="22"/>
      <c r="E11" s="26"/>
      <c r="F11" s="22"/>
      <c r="G11" s="22"/>
      <c r="H11" s="22"/>
      <c r="I11" s="22"/>
      <c r="J11" s="1"/>
      <c r="K11" s="1"/>
      <c r="L11" s="1"/>
      <c r="M11" s="4"/>
      <c r="N11" s="5"/>
      <c r="O11" s="5"/>
      <c r="P11" s="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.75" customHeight="1" x14ac:dyDescent="0.35">
      <c r="A12" s="1"/>
      <c r="B12" s="25"/>
      <c r="C12" s="22"/>
      <c r="D12" s="22"/>
      <c r="E12" s="26"/>
      <c r="F12" s="22"/>
      <c r="G12" s="22"/>
      <c r="H12" s="22"/>
      <c r="I12" s="22"/>
      <c r="J12" s="1"/>
      <c r="K12" s="1"/>
      <c r="L12" s="1"/>
      <c r="M12" s="4"/>
      <c r="N12" s="5"/>
      <c r="O12" s="5"/>
      <c r="P12" s="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5">
      <c r="A13" s="1"/>
      <c r="B13" s="1" t="s">
        <v>10</v>
      </c>
      <c r="C13" s="22"/>
      <c r="D13" s="22"/>
      <c r="E13" s="26"/>
      <c r="F13" s="22"/>
      <c r="G13" s="22"/>
      <c r="H13" s="22"/>
      <c r="I13" s="22"/>
      <c r="J13" s="1"/>
      <c r="K13" s="1"/>
      <c r="L13" s="1"/>
      <c r="M13" s="4"/>
      <c r="N13" s="5"/>
      <c r="O13" s="5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5">
      <c r="A14" s="1"/>
      <c r="B14" s="1"/>
      <c r="C14" s="22"/>
      <c r="D14" s="22"/>
      <c r="E14" s="26"/>
      <c r="F14" s="22"/>
      <c r="G14" s="22"/>
      <c r="H14" s="22"/>
      <c r="I14" s="22"/>
      <c r="J14" s="1"/>
      <c r="K14" s="1"/>
      <c r="L14" s="1"/>
      <c r="M14" s="4"/>
      <c r="N14" s="5"/>
      <c r="O14" s="5"/>
      <c r="P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5">
      <c r="A15" s="1"/>
      <c r="B15" s="25" t="s">
        <v>11</v>
      </c>
      <c r="C15" s="1"/>
      <c r="D15" s="22"/>
      <c r="E15" s="26"/>
      <c r="F15" s="22"/>
      <c r="G15" s="22"/>
      <c r="H15" s="22"/>
      <c r="I15" s="22"/>
      <c r="J15" s="1"/>
      <c r="K15" s="1"/>
      <c r="L15" s="1"/>
      <c r="M15" s="4"/>
      <c r="N15" s="5"/>
      <c r="O15" s="5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5">
      <c r="A16" s="1"/>
      <c r="B16" s="25"/>
      <c r="C16" s="1"/>
      <c r="D16" s="22"/>
      <c r="E16" s="26"/>
      <c r="F16" s="22"/>
      <c r="G16" s="22"/>
      <c r="H16" s="22"/>
      <c r="I16" s="22"/>
      <c r="J16" s="1"/>
      <c r="K16" s="1"/>
      <c r="L16" s="1"/>
      <c r="M16" s="4"/>
      <c r="N16" s="5"/>
      <c r="O16" s="5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5">
      <c r="A17" s="1"/>
      <c r="B17" s="27"/>
      <c r="C17" s="28" t="s">
        <v>12</v>
      </c>
      <c r="D17" s="28" t="s">
        <v>13</v>
      </c>
      <c r="E17" s="26"/>
      <c r="F17" s="22"/>
      <c r="G17" s="22"/>
      <c r="H17" s="22"/>
      <c r="I17" s="22"/>
      <c r="J17" s="1"/>
      <c r="K17" s="1"/>
      <c r="L17" s="1"/>
      <c r="M17" s="4"/>
      <c r="N17" s="5"/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5">
      <c r="A18" s="1"/>
      <c r="B18" s="29" t="s">
        <v>14</v>
      </c>
      <c r="C18" s="30" t="s">
        <v>15</v>
      </c>
      <c r="D18" s="30" t="s">
        <v>15</v>
      </c>
      <c r="E18" s="26"/>
      <c r="F18" s="22"/>
      <c r="G18" s="22"/>
      <c r="H18" s="22"/>
      <c r="I18" s="22"/>
      <c r="J18" s="1"/>
      <c r="K18" s="1"/>
      <c r="L18" s="1"/>
      <c r="M18" s="4"/>
      <c r="N18" s="5"/>
      <c r="O18" s="5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5">
      <c r="A19" s="1"/>
      <c r="B19" s="29" t="s">
        <v>16</v>
      </c>
      <c r="C19" s="30" t="s">
        <v>15</v>
      </c>
      <c r="D19" s="30" t="s">
        <v>15</v>
      </c>
      <c r="E19" s="26"/>
      <c r="F19" s="22"/>
      <c r="G19" s="22"/>
      <c r="H19" s="22"/>
      <c r="I19" s="22"/>
      <c r="J19" s="1"/>
      <c r="K19" s="1"/>
      <c r="L19" s="1"/>
      <c r="M19" s="4"/>
      <c r="N19" s="5"/>
      <c r="O19" s="5"/>
      <c r="P19" s="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5">
      <c r="A20" s="1"/>
      <c r="B20" s="29" t="s">
        <v>17</v>
      </c>
      <c r="C20" s="30" t="s">
        <v>15</v>
      </c>
      <c r="D20" s="30" t="s">
        <v>15</v>
      </c>
      <c r="E20" s="26"/>
      <c r="F20" s="22"/>
      <c r="G20" s="22"/>
      <c r="H20" s="22"/>
      <c r="I20" s="22"/>
      <c r="J20" s="1"/>
      <c r="K20" s="1"/>
      <c r="L20" s="1"/>
      <c r="M20" s="4"/>
      <c r="N20" s="5"/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5">
      <c r="A21" s="1"/>
      <c r="B21" s="2"/>
      <c r="C21" s="22"/>
      <c r="D21" s="22"/>
      <c r="E21" s="26"/>
      <c r="F21" s="22"/>
      <c r="G21" s="22"/>
      <c r="H21" s="22"/>
      <c r="I21" s="22"/>
      <c r="J21" s="1"/>
      <c r="K21" s="1"/>
      <c r="L21" s="1"/>
      <c r="M21" s="4"/>
      <c r="N21" s="5"/>
      <c r="O21" s="5"/>
      <c r="P21" s="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5">
      <c r="A22" s="1"/>
      <c r="B22" s="25" t="s">
        <v>18</v>
      </c>
      <c r="C22" s="2"/>
      <c r="D22" s="2"/>
      <c r="E22" s="3"/>
      <c r="F22" s="2"/>
      <c r="G22" s="2"/>
      <c r="H22" s="2"/>
      <c r="I22" s="2"/>
      <c r="J22" s="1"/>
      <c r="K22" s="1"/>
      <c r="L22" s="1"/>
      <c r="M22" s="4"/>
      <c r="N22" s="5"/>
      <c r="O22" s="5"/>
      <c r="P22" s="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.75" customHeight="1" x14ac:dyDescent="0.35">
      <c r="A23" s="1"/>
      <c r="B23" s="25"/>
      <c r="C23" s="2"/>
      <c r="D23" s="2"/>
      <c r="E23" s="3"/>
      <c r="F23" s="2"/>
      <c r="G23" s="2"/>
      <c r="H23" s="2"/>
      <c r="I23" s="2"/>
      <c r="J23" s="1"/>
      <c r="K23" s="1"/>
      <c r="L23" s="1"/>
      <c r="M23" s="4"/>
      <c r="N23" s="5"/>
      <c r="O23" s="5"/>
      <c r="P23" s="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5">
      <c r="A24" s="31" t="s">
        <v>19</v>
      </c>
      <c r="B24" s="32" t="s">
        <v>20</v>
      </c>
      <c r="C24" s="2"/>
      <c r="D24" s="2"/>
      <c r="E24" s="3"/>
      <c r="F24" s="2"/>
      <c r="G24" s="2"/>
      <c r="H24" s="2"/>
      <c r="I24" s="2"/>
      <c r="J24" s="1"/>
      <c r="K24" s="1"/>
      <c r="L24" s="1"/>
      <c r="M24" s="4"/>
      <c r="N24" s="5"/>
      <c r="O24" s="5"/>
      <c r="P24" s="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5">
      <c r="A25" s="31" t="s">
        <v>21</v>
      </c>
      <c r="B25" s="32" t="s">
        <v>22</v>
      </c>
      <c r="C25" s="2"/>
      <c r="D25" s="2"/>
      <c r="E25" s="3"/>
      <c r="F25" s="2"/>
      <c r="G25" s="2"/>
      <c r="H25" s="2"/>
      <c r="I25" s="2"/>
      <c r="J25" s="1"/>
      <c r="K25" s="1"/>
      <c r="L25" s="1"/>
      <c r="M25" s="4"/>
      <c r="N25" s="5"/>
      <c r="O25" s="5"/>
      <c r="P25" s="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5">
      <c r="A26" s="31" t="s">
        <v>23</v>
      </c>
      <c r="B26" s="32" t="s">
        <v>24</v>
      </c>
      <c r="C26" s="2"/>
      <c r="D26" s="2"/>
      <c r="E26" s="3"/>
      <c r="F26" s="2"/>
      <c r="G26" s="2"/>
      <c r="H26" s="1"/>
      <c r="I26" s="2"/>
      <c r="L26" s="1"/>
      <c r="M26" s="4"/>
      <c r="N26" s="5"/>
      <c r="O26" s="5"/>
      <c r="P26" s="5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5">
      <c r="A27" s="31" t="s">
        <v>25</v>
      </c>
      <c r="B27" s="1" t="s">
        <v>26</v>
      </c>
      <c r="C27" s="2"/>
      <c r="D27" s="2"/>
      <c r="E27" s="3"/>
      <c r="F27" s="2"/>
      <c r="G27" s="2"/>
      <c r="H27" s="2"/>
      <c r="I27" s="2"/>
      <c r="J27" s="1"/>
      <c r="K27" s="1"/>
      <c r="L27" s="1"/>
      <c r="M27" s="4"/>
      <c r="N27" s="5"/>
      <c r="O27" s="5"/>
      <c r="P27" s="5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5">
      <c r="A28" s="1"/>
      <c r="B28" s="1"/>
      <c r="C28" s="2"/>
      <c r="D28" s="2"/>
      <c r="E28" s="3"/>
      <c r="F28" s="2"/>
      <c r="G28" s="2"/>
      <c r="H28" s="2"/>
      <c r="I28" s="2"/>
      <c r="J28" s="1"/>
      <c r="K28" s="1"/>
      <c r="L28" s="1"/>
      <c r="M28" s="4"/>
      <c r="N28" s="5"/>
      <c r="O28" s="5"/>
      <c r="P28" s="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5">
      <c r="A29" s="1"/>
      <c r="B29" s="25" t="s">
        <v>27</v>
      </c>
      <c r="C29" s="2"/>
      <c r="D29" s="2"/>
      <c r="E29" s="3"/>
      <c r="F29" s="2"/>
      <c r="G29" s="2"/>
      <c r="H29" s="2"/>
      <c r="I29" s="2"/>
      <c r="J29" s="1"/>
      <c r="K29" s="1"/>
      <c r="L29" s="1"/>
      <c r="M29" s="4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5">
      <c r="A30" s="1"/>
      <c r="B30" s="25"/>
      <c r="C30" s="2"/>
      <c r="D30" s="2"/>
      <c r="E30" s="3"/>
      <c r="F30" s="2"/>
      <c r="G30" s="2"/>
      <c r="H30" s="2"/>
      <c r="I30" s="2"/>
      <c r="J30" s="1"/>
      <c r="K30" s="1"/>
      <c r="L30" s="1"/>
      <c r="M30" s="4"/>
      <c r="N30" s="5"/>
      <c r="O30" s="5"/>
      <c r="P30" s="5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5">
      <c r="A31" s="1"/>
      <c r="B31" s="25"/>
      <c r="C31" s="2"/>
      <c r="D31" s="2"/>
      <c r="E31" s="3"/>
      <c r="F31" s="2"/>
      <c r="G31" s="2"/>
      <c r="H31" s="2"/>
      <c r="I31" s="2"/>
      <c r="J31" s="1"/>
      <c r="K31" s="1"/>
      <c r="L31" s="1"/>
      <c r="M31" s="4"/>
      <c r="N31" s="5"/>
      <c r="O31" s="5"/>
      <c r="P31" s="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"/>
      <c r="O32" s="5"/>
      <c r="P32" s="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5"/>
      <c r="O33" s="5"/>
      <c r="P33" s="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5"/>
      <c r="O34" s="5"/>
      <c r="P34" s="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5"/>
      <c r="O35" s="5"/>
      <c r="P35" s="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5"/>
      <c r="O36" s="5"/>
      <c r="P36" s="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5"/>
      <c r="O37" s="5"/>
      <c r="P37" s="5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5">
      <c r="A38" s="1"/>
      <c r="B38" s="1"/>
      <c r="C38" s="73" t="s">
        <v>28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5"/>
      <c r="O38" s="5"/>
      <c r="P38" s="5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5"/>
      <c r="O39" s="5"/>
      <c r="P39" s="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5"/>
      <c r="O40" s="5"/>
      <c r="P40" s="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5"/>
      <c r="O41" s="5"/>
      <c r="P41" s="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5"/>
      <c r="O42" s="5"/>
      <c r="P42" s="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5"/>
      <c r="O43" s="5"/>
      <c r="P43" s="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5"/>
      <c r="O44" s="5"/>
      <c r="P44" s="5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5"/>
      <c r="O45" s="5"/>
      <c r="P45" s="5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5"/>
      <c r="O46" s="5"/>
      <c r="P46" s="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5"/>
      <c r="O47" s="5"/>
      <c r="P47" s="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5"/>
      <c r="O48" s="5"/>
      <c r="P48" s="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5">
      <c r="A49" s="1"/>
      <c r="B49" s="25" t="s">
        <v>29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5"/>
      <c r="O49" s="5"/>
      <c r="P49" s="33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6.75" customHeight="1" x14ac:dyDescent="0.35">
      <c r="A50" s="1"/>
      <c r="B50" s="2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5"/>
      <c r="O50" s="5"/>
      <c r="P50" s="33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5">
      <c r="A51" s="3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"/>
      <c r="O51" s="5"/>
      <c r="P51" s="33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5">
      <c r="A52" s="3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5"/>
      <c r="O52" s="5"/>
      <c r="P52" s="33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5">
      <c r="A53" s="3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5"/>
      <c r="O53" s="5"/>
      <c r="P53" s="33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5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5"/>
      <c r="O54" s="5"/>
      <c r="P54" s="33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5">
      <c r="A55" s="35"/>
      <c r="B55" s="25" t="s">
        <v>30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5"/>
      <c r="O55" s="5"/>
      <c r="P55" s="33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.75" customHeight="1" x14ac:dyDescent="0.35">
      <c r="A56" s="3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5"/>
      <c r="O56" s="5"/>
      <c r="P56" s="33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5">
      <c r="A57" s="36" t="s">
        <v>31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"/>
      <c r="O57" s="5"/>
      <c r="P57" s="33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5">
      <c r="A58" s="36" t="s">
        <v>32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5"/>
      <c r="O58" s="5"/>
      <c r="P58" s="33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5">
      <c r="A59" s="36" t="s">
        <v>33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5"/>
      <c r="O59" s="5"/>
      <c r="P59" s="33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5">
      <c r="A60" s="3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5"/>
      <c r="O60" s="5"/>
      <c r="P60" s="33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5">
      <c r="A61" s="37"/>
      <c r="B61" s="25" t="s">
        <v>34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5"/>
      <c r="O61" s="5"/>
      <c r="P61" s="33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.75" customHeight="1" x14ac:dyDescent="0.35">
      <c r="A62" s="37"/>
      <c r="B62" s="2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5"/>
      <c r="O62" s="5"/>
      <c r="P62" s="3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5">
      <c r="A63" s="36" t="s">
        <v>35</v>
      </c>
      <c r="B63" s="2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5"/>
      <c r="P63" s="3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5">
      <c r="A64" s="36" t="s">
        <v>36</v>
      </c>
      <c r="B64" s="2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5"/>
      <c r="O64" s="5"/>
      <c r="P64" s="3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5">
      <c r="A65" s="36" t="s">
        <v>37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5"/>
      <c r="O65" s="5"/>
      <c r="P65" s="3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5">
      <c r="A66" s="37"/>
      <c r="B66" s="3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5"/>
      <c r="O66" s="5"/>
      <c r="P66" s="3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5">
      <c r="A67" s="37"/>
      <c r="B67" s="25" t="s">
        <v>38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5"/>
      <c r="O67" s="5"/>
      <c r="P67" s="3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.75" customHeight="1" x14ac:dyDescent="0.35">
      <c r="A68" s="37"/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5"/>
      <c r="O68" s="5"/>
      <c r="P68" s="3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5">
      <c r="A69" s="36" t="s">
        <v>39</v>
      </c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5"/>
      <c r="O69" s="5"/>
      <c r="P69" s="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5">
      <c r="A70" s="36" t="s">
        <v>40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5"/>
      <c r="O70" s="5"/>
      <c r="P70" s="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5">
      <c r="A71" s="36" t="s">
        <v>41</v>
      </c>
      <c r="B71" s="3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5"/>
      <c r="O71" s="5"/>
      <c r="P71" s="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5">
      <c r="A72" s="36"/>
      <c r="B72" s="3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5"/>
      <c r="O72" s="5"/>
      <c r="P72" s="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5">
      <c r="A73" s="31"/>
      <c r="B73" s="25" t="s">
        <v>42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5"/>
      <c r="O73" s="5"/>
      <c r="P73" s="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6.75" customHeight="1" x14ac:dyDescent="0.35">
      <c r="A74" s="31"/>
      <c r="B74" s="2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5"/>
      <c r="O74" s="5"/>
      <c r="P74" s="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5">
      <c r="A75" s="31"/>
      <c r="B75" s="40" t="s">
        <v>43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5"/>
      <c r="O75" s="5"/>
      <c r="P75" s="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"/>
      <c r="O76" s="5"/>
      <c r="P76" s="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  <c r="O77" s="5"/>
      <c r="P77" s="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5"/>
      <c r="O78" s="5"/>
      <c r="P78" s="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5"/>
      <c r="O79" s="5"/>
      <c r="P79" s="5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5"/>
      <c r="O80" s="5"/>
      <c r="P80" s="5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5"/>
      <c r="O81" s="5"/>
      <c r="P81" s="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5"/>
      <c r="O82" s="5"/>
      <c r="P82" s="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5"/>
      <c r="O83" s="5"/>
      <c r="P83" s="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5"/>
      <c r="O84" s="5"/>
      <c r="P84" s="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5"/>
      <c r="O85" s="5"/>
      <c r="P85" s="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5"/>
      <c r="O86" s="5"/>
      <c r="P86" s="5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5"/>
      <c r="O87" s="5"/>
      <c r="P87" s="5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5"/>
      <c r="O88" s="5"/>
      <c r="P88" s="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5"/>
      <c r="O89" s="5"/>
      <c r="P89" s="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5"/>
      <c r="O90" s="5"/>
      <c r="P90" s="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5"/>
      <c r="O91" s="5"/>
      <c r="P91" s="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5"/>
      <c r="O92" s="5"/>
      <c r="P92" s="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5"/>
      <c r="O93" s="5"/>
      <c r="P93" s="5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5"/>
      <c r="O94" s="5"/>
      <c r="P94" s="5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5"/>
      <c r="O95" s="5"/>
      <c r="P95" s="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5"/>
      <c r="O96" s="5"/>
      <c r="P96" s="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5"/>
      <c r="O97" s="5"/>
      <c r="P97" s="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5"/>
      <c r="O98" s="5"/>
      <c r="P98" s="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5"/>
      <c r="O99" s="5"/>
      <c r="P99" s="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"/>
      <c r="O100" s="5"/>
      <c r="P100" s="5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"/>
      <c r="O101" s="5"/>
      <c r="P101" s="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5"/>
      <c r="O102" s="5"/>
      <c r="P102" s="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5"/>
      <c r="O103" s="5"/>
      <c r="P103" s="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5"/>
      <c r="O104" s="5"/>
      <c r="P104" s="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5"/>
      <c r="O105" s="5"/>
      <c r="P105" s="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5"/>
      <c r="O106" s="5"/>
      <c r="P106" s="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5"/>
      <c r="O107" s="5"/>
      <c r="P107" s="5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5"/>
      <c r="O108" s="5"/>
      <c r="P108" s="5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5"/>
      <c r="O109" s="5"/>
      <c r="P109" s="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5"/>
      <c r="O110" s="5"/>
      <c r="P110" s="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5"/>
      <c r="O111" s="5"/>
      <c r="P111" s="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5"/>
      <c r="O112" s="5"/>
      <c r="P112" s="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5"/>
      <c r="O113" s="5"/>
      <c r="P113" s="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5"/>
      <c r="O114" s="5"/>
      <c r="P114" s="5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5"/>
      <c r="O115" s="5"/>
      <c r="P115" s="5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5"/>
      <c r="O116" s="5"/>
      <c r="P116" s="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5"/>
      <c r="O117" s="5"/>
      <c r="P117" s="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5"/>
      <c r="O118" s="5"/>
      <c r="P118" s="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5"/>
      <c r="O119" s="5"/>
      <c r="P119" s="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"/>
      <c r="O120" s="5"/>
      <c r="P120" s="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"/>
      <c r="O121" s="5"/>
      <c r="P121" s="5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5"/>
      <c r="O122" s="5"/>
      <c r="P122" s="5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5"/>
      <c r="O123" s="5"/>
      <c r="P123" s="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5"/>
      <c r="O124" s="5"/>
      <c r="P124" s="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5"/>
      <c r="O125" s="5"/>
      <c r="P125" s="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5"/>
      <c r="O126" s="5"/>
      <c r="P126" s="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5"/>
      <c r="O127" s="5"/>
      <c r="P127" s="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5"/>
      <c r="O128" s="5"/>
      <c r="P128" s="5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5"/>
      <c r="O129" s="5"/>
      <c r="P129" s="5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5"/>
      <c r="O130" s="5"/>
      <c r="P130" s="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5"/>
      <c r="O131" s="5"/>
      <c r="P131" s="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5"/>
      <c r="O132" s="5"/>
      <c r="P132" s="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5"/>
      <c r="O133" s="5"/>
      <c r="P133" s="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5"/>
      <c r="O134" s="5"/>
      <c r="P134" s="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5"/>
      <c r="O135" s="5"/>
      <c r="P135" s="5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5"/>
      <c r="O136" s="5"/>
      <c r="P136" s="5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5"/>
      <c r="O137" s="5"/>
      <c r="P137" s="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5"/>
      <c r="O138" s="5"/>
      <c r="P138" s="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5"/>
      <c r="O139" s="5"/>
      <c r="P139" s="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5"/>
      <c r="O140" s="5"/>
      <c r="P140" s="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5"/>
      <c r="O141" s="5"/>
      <c r="P141" s="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5"/>
      <c r="O142" s="5"/>
      <c r="P142" s="5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5"/>
      <c r="O143" s="5"/>
      <c r="P143" s="5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5"/>
      <c r="O144" s="5"/>
      <c r="P144" s="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5"/>
      <c r="O145" s="5"/>
      <c r="P145" s="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5"/>
      <c r="O146" s="5"/>
      <c r="P146" s="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5"/>
      <c r="O147" s="5"/>
      <c r="P147" s="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5"/>
      <c r="O148" s="5"/>
      <c r="P148" s="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5"/>
      <c r="O149" s="5"/>
      <c r="P149" s="5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5"/>
      <c r="O150" s="5"/>
      <c r="P150" s="5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5"/>
      <c r="O151" s="5"/>
      <c r="P151" s="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5"/>
      <c r="O152" s="5"/>
      <c r="P152" s="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5"/>
      <c r="O153" s="5"/>
      <c r="P153" s="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5"/>
      <c r="O154" s="5"/>
      <c r="P154" s="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5"/>
      <c r="O155" s="5"/>
      <c r="P155" s="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5"/>
      <c r="O156" s="5"/>
      <c r="P156" s="5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5"/>
      <c r="O157" s="5"/>
      <c r="P157" s="5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5"/>
      <c r="O158" s="5"/>
      <c r="P158" s="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5"/>
      <c r="O159" s="5"/>
      <c r="P159" s="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5"/>
      <c r="O160" s="5"/>
      <c r="P160" s="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5"/>
      <c r="O161" s="5"/>
      <c r="P161" s="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5"/>
      <c r="O162" s="5"/>
      <c r="P162" s="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5"/>
      <c r="O163" s="5"/>
      <c r="P163" s="5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5"/>
      <c r="O164" s="5"/>
      <c r="P164" s="5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5"/>
      <c r="O165" s="5"/>
      <c r="P165" s="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5"/>
      <c r="O166" s="5"/>
      <c r="P166" s="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5"/>
      <c r="O167" s="5"/>
      <c r="P167" s="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5"/>
      <c r="O168" s="5"/>
      <c r="P168" s="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5"/>
      <c r="O169" s="5"/>
      <c r="P169" s="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5"/>
      <c r="O170" s="5"/>
      <c r="P170" s="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5"/>
      <c r="O171" s="5"/>
      <c r="P171" s="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5"/>
      <c r="O172" s="5"/>
      <c r="P172" s="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5"/>
      <c r="O173" s="5"/>
      <c r="P173" s="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5"/>
      <c r="O174" s="5"/>
      <c r="P174" s="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5"/>
      <c r="O175" s="5"/>
      <c r="P175" s="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5"/>
      <c r="O176" s="5"/>
      <c r="P176" s="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5"/>
      <c r="O177" s="5"/>
      <c r="P177" s="5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5"/>
      <c r="O178" s="5"/>
      <c r="P178" s="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5"/>
      <c r="O179" s="5"/>
      <c r="P179" s="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5"/>
      <c r="O180" s="5"/>
      <c r="P180" s="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5"/>
      <c r="O181" s="5"/>
      <c r="P181" s="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5"/>
      <c r="O182" s="5"/>
      <c r="P182" s="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5"/>
      <c r="O183" s="5"/>
      <c r="P183" s="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5"/>
      <c r="O184" s="5"/>
      <c r="P184" s="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5"/>
      <c r="O185" s="5"/>
      <c r="P185" s="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5"/>
      <c r="O186" s="5"/>
      <c r="P186" s="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5"/>
      <c r="O187" s="5"/>
      <c r="P187" s="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5"/>
      <c r="O188" s="5"/>
      <c r="P188" s="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5"/>
      <c r="O189" s="5"/>
      <c r="P189" s="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5"/>
      <c r="O190" s="5"/>
      <c r="P190" s="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5"/>
      <c r="O191" s="5"/>
      <c r="P191" s="5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5"/>
      <c r="O192" s="5"/>
      <c r="P192" s="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5"/>
      <c r="O193" s="5"/>
      <c r="P193" s="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5"/>
      <c r="O194" s="5"/>
      <c r="P194" s="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5"/>
      <c r="O195" s="5"/>
      <c r="P195" s="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5"/>
      <c r="O196" s="5"/>
      <c r="P196" s="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5"/>
      <c r="O197" s="5"/>
      <c r="P197" s="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5"/>
      <c r="O198" s="5"/>
      <c r="P198" s="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5"/>
      <c r="O199" s="5"/>
      <c r="P199" s="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5"/>
      <c r="O200" s="5"/>
      <c r="P200" s="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5"/>
      <c r="O201" s="5"/>
      <c r="P201" s="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5"/>
      <c r="O202" s="5"/>
      <c r="P202" s="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5"/>
      <c r="O203" s="5"/>
      <c r="P203" s="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5"/>
      <c r="O204" s="5"/>
      <c r="P204" s="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5"/>
      <c r="O205" s="5"/>
      <c r="P205" s="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5"/>
      <c r="O206" s="5"/>
      <c r="P206" s="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5"/>
      <c r="O207" s="5"/>
      <c r="P207" s="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5"/>
      <c r="O208" s="5"/>
      <c r="P208" s="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5"/>
      <c r="O209" s="5"/>
      <c r="P209" s="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5"/>
      <c r="O210" s="5"/>
      <c r="P210" s="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5"/>
      <c r="O211" s="5"/>
      <c r="P211" s="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5"/>
      <c r="O212" s="5"/>
      <c r="P212" s="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5"/>
      <c r="O213" s="5"/>
      <c r="P213" s="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5"/>
      <c r="O214" s="5"/>
      <c r="P214" s="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5"/>
      <c r="O215" s="5"/>
      <c r="P215" s="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5"/>
      <c r="O216" s="5"/>
      <c r="P216" s="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5"/>
      <c r="O217" s="5"/>
      <c r="P217" s="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5"/>
      <c r="O218" s="5"/>
      <c r="P218" s="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5"/>
      <c r="O219" s="5"/>
      <c r="P219" s="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5"/>
      <c r="O220" s="5"/>
      <c r="P220" s="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5"/>
      <c r="O221" s="5"/>
      <c r="P221" s="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5"/>
      <c r="O222" s="5"/>
      <c r="P222" s="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5"/>
      <c r="O223" s="5"/>
      <c r="P223" s="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5"/>
      <c r="O224" s="5"/>
      <c r="P224" s="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5"/>
      <c r="O225" s="5"/>
      <c r="P225" s="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5"/>
      <c r="O226" s="5"/>
      <c r="P226" s="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5"/>
      <c r="O227" s="5"/>
      <c r="P227" s="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5"/>
      <c r="O228" s="5"/>
      <c r="P228" s="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5"/>
      <c r="O229" s="5"/>
      <c r="P229" s="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5"/>
      <c r="O230" s="5"/>
      <c r="P230" s="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5"/>
      <c r="O231" s="5"/>
      <c r="P231" s="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5"/>
      <c r="O232" s="5"/>
      <c r="P232" s="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5"/>
      <c r="O233" s="5"/>
      <c r="P233" s="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5"/>
      <c r="O234" s="5"/>
      <c r="P234" s="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5"/>
      <c r="O235" s="5"/>
      <c r="P235" s="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5"/>
      <c r="O236" s="5"/>
      <c r="P236" s="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5"/>
      <c r="O237" s="5"/>
      <c r="P237" s="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5"/>
      <c r="O238" s="5"/>
      <c r="P238" s="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5"/>
      <c r="O239" s="5"/>
      <c r="P239" s="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5"/>
      <c r="O240" s="5"/>
      <c r="P240" s="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5"/>
      <c r="O241" s="5"/>
      <c r="P241" s="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5"/>
      <c r="O242" s="5"/>
      <c r="P242" s="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5"/>
      <c r="O243" s="5"/>
      <c r="P243" s="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5"/>
      <c r="O244" s="5"/>
      <c r="P244" s="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5"/>
      <c r="O245" s="5"/>
      <c r="P245" s="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5"/>
      <c r="O246" s="5"/>
      <c r="P246" s="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5"/>
      <c r="O247" s="5"/>
      <c r="P247" s="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5"/>
      <c r="O248" s="5"/>
      <c r="P248" s="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5"/>
      <c r="O249" s="5"/>
      <c r="P249" s="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5"/>
      <c r="O250" s="5"/>
      <c r="P250" s="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5"/>
      <c r="O251" s="5"/>
      <c r="P251" s="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5"/>
      <c r="O252" s="5"/>
      <c r="P252" s="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5"/>
      <c r="O253" s="5"/>
      <c r="P253" s="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5"/>
      <c r="O254" s="5"/>
      <c r="P254" s="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5"/>
      <c r="O255" s="5"/>
      <c r="P255" s="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5"/>
      <c r="O256" s="5"/>
      <c r="P256" s="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5"/>
      <c r="O257" s="5"/>
      <c r="P257" s="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5"/>
      <c r="O258" s="5"/>
      <c r="P258" s="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5"/>
      <c r="O259" s="5"/>
      <c r="P259" s="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5"/>
      <c r="O260" s="5"/>
      <c r="P260" s="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5"/>
      <c r="O261" s="5"/>
      <c r="P261" s="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5"/>
      <c r="O262" s="5"/>
      <c r="P262" s="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5"/>
      <c r="O263" s="5"/>
      <c r="P263" s="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5"/>
      <c r="O264" s="5"/>
      <c r="P264" s="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5"/>
      <c r="O265" s="5"/>
      <c r="P265" s="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5"/>
      <c r="O266" s="5"/>
      <c r="P266" s="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5"/>
      <c r="O267" s="5"/>
      <c r="P267" s="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5"/>
      <c r="O268" s="5"/>
      <c r="P268" s="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5"/>
      <c r="O269" s="5"/>
      <c r="P269" s="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5"/>
      <c r="O270" s="5"/>
      <c r="P270" s="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5"/>
      <c r="O271" s="5"/>
      <c r="P271" s="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5"/>
      <c r="O272" s="5"/>
      <c r="P272" s="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5"/>
      <c r="O273" s="5"/>
      <c r="P273" s="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5"/>
      <c r="O274" s="5"/>
      <c r="P274" s="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5"/>
      <c r="O275" s="5"/>
      <c r="P275" s="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5"/>
      <c r="O276" s="5"/>
      <c r="P276" s="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5"/>
      <c r="O277" s="5"/>
      <c r="P277" s="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5"/>
      <c r="O278" s="5"/>
      <c r="P278" s="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5"/>
      <c r="O279" s="5"/>
      <c r="P279" s="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5"/>
      <c r="O280" s="5"/>
      <c r="P280" s="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5"/>
      <c r="O281" s="5"/>
      <c r="P281" s="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5"/>
      <c r="O282" s="5"/>
      <c r="P282" s="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5"/>
      <c r="O283" s="5"/>
      <c r="P283" s="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5"/>
      <c r="O284" s="5"/>
      <c r="P284" s="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5"/>
      <c r="O285" s="5"/>
      <c r="P285" s="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5"/>
      <c r="O286" s="5"/>
      <c r="P286" s="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5"/>
      <c r="O287" s="5"/>
      <c r="P287" s="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5"/>
      <c r="O288" s="5"/>
      <c r="P288" s="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5"/>
      <c r="O289" s="5"/>
      <c r="P289" s="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5"/>
      <c r="O290" s="5"/>
      <c r="P290" s="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5"/>
      <c r="O291" s="5"/>
      <c r="P291" s="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5"/>
      <c r="O292" s="5"/>
      <c r="P292" s="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5"/>
      <c r="O293" s="5"/>
      <c r="P293" s="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5"/>
      <c r="O294" s="5"/>
      <c r="P294" s="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5"/>
      <c r="O295" s="5"/>
      <c r="P295" s="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5"/>
      <c r="O296" s="5"/>
      <c r="P296" s="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5"/>
      <c r="O297" s="5"/>
      <c r="P297" s="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5"/>
      <c r="O298" s="5"/>
      <c r="P298" s="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5"/>
      <c r="O299" s="5"/>
      <c r="P299" s="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5"/>
      <c r="O300" s="5"/>
      <c r="P300" s="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5"/>
      <c r="O301" s="5"/>
      <c r="P301" s="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5"/>
      <c r="O302" s="5"/>
      <c r="P302" s="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5"/>
      <c r="O303" s="5"/>
      <c r="P303" s="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5"/>
      <c r="O304" s="5"/>
      <c r="P304" s="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5"/>
      <c r="O305" s="5"/>
      <c r="P305" s="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5"/>
      <c r="O306" s="5"/>
      <c r="P306" s="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5"/>
      <c r="O307" s="5"/>
      <c r="P307" s="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5"/>
      <c r="O308" s="5"/>
      <c r="P308" s="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5"/>
      <c r="O309" s="5"/>
      <c r="P309" s="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5"/>
      <c r="O310" s="5"/>
      <c r="P310" s="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5"/>
      <c r="O311" s="5"/>
      <c r="P311" s="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5"/>
      <c r="O312" s="5"/>
      <c r="P312" s="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5"/>
      <c r="O313" s="5"/>
      <c r="P313" s="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5"/>
      <c r="O314" s="5"/>
      <c r="P314" s="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5"/>
      <c r="O315" s="5"/>
      <c r="P315" s="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5"/>
      <c r="O316" s="5"/>
      <c r="P316" s="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5"/>
      <c r="O317" s="5"/>
      <c r="P317" s="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5"/>
      <c r="O318" s="5"/>
      <c r="P318" s="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5"/>
      <c r="O319" s="5"/>
      <c r="P319" s="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5"/>
      <c r="O320" s="5"/>
      <c r="P320" s="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5"/>
      <c r="O321" s="5"/>
      <c r="P321" s="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5"/>
      <c r="O322" s="5"/>
      <c r="P322" s="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5"/>
      <c r="O323" s="5"/>
      <c r="P323" s="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5"/>
      <c r="O324" s="5"/>
      <c r="P324" s="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5"/>
      <c r="O325" s="5"/>
      <c r="P325" s="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5"/>
      <c r="O326" s="5"/>
      <c r="P326" s="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5"/>
      <c r="O327" s="5"/>
      <c r="P327" s="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5"/>
      <c r="O328" s="5"/>
      <c r="P328" s="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5"/>
      <c r="O329" s="5"/>
      <c r="P329" s="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5"/>
      <c r="O330" s="5"/>
      <c r="P330" s="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5"/>
      <c r="O331" s="5"/>
      <c r="P331" s="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5"/>
      <c r="O332" s="5"/>
      <c r="P332" s="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5"/>
      <c r="O333" s="5"/>
      <c r="P333" s="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5"/>
      <c r="O334" s="5"/>
      <c r="P334" s="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5"/>
      <c r="O335" s="5"/>
      <c r="P335" s="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5"/>
      <c r="O336" s="5"/>
      <c r="P336" s="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5"/>
      <c r="O337" s="5"/>
      <c r="P337" s="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5"/>
      <c r="O338" s="5"/>
      <c r="P338" s="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5"/>
      <c r="O339" s="5"/>
      <c r="P339" s="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5"/>
      <c r="O340" s="5"/>
      <c r="P340" s="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5"/>
      <c r="O341" s="5"/>
      <c r="P341" s="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5"/>
      <c r="O342" s="5"/>
      <c r="P342" s="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5"/>
      <c r="O343" s="5"/>
      <c r="P343" s="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5"/>
      <c r="O344" s="5"/>
      <c r="P344" s="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5"/>
      <c r="O345" s="5"/>
      <c r="P345" s="5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5"/>
      <c r="O346" s="5"/>
      <c r="P346" s="5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5"/>
      <c r="O347" s="5"/>
      <c r="P347" s="5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5"/>
      <c r="O348" s="5"/>
      <c r="P348" s="5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5"/>
      <c r="O349" s="5"/>
      <c r="P349" s="5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5"/>
      <c r="O350" s="5"/>
      <c r="P350" s="5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5"/>
      <c r="O351" s="5"/>
      <c r="P351" s="5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5"/>
      <c r="O352" s="5"/>
      <c r="P352" s="5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5"/>
      <c r="O353" s="5"/>
      <c r="P353" s="5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5"/>
      <c r="O354" s="5"/>
      <c r="P354" s="5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5"/>
      <c r="O355" s="5"/>
      <c r="P355" s="5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5"/>
      <c r="O356" s="5"/>
      <c r="P356" s="5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5"/>
      <c r="O357" s="5"/>
      <c r="P357" s="5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5"/>
      <c r="O358" s="5"/>
      <c r="P358" s="5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5"/>
      <c r="O359" s="5"/>
      <c r="P359" s="5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5"/>
      <c r="O360" s="5"/>
      <c r="P360" s="5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5"/>
      <c r="O361" s="5"/>
      <c r="P361" s="5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5"/>
      <c r="O362" s="5"/>
      <c r="P362" s="5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5"/>
      <c r="O363" s="5"/>
      <c r="P363" s="5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5"/>
      <c r="O364" s="5"/>
      <c r="P364" s="5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5"/>
      <c r="O365" s="5"/>
      <c r="P365" s="5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5"/>
      <c r="O366" s="5"/>
      <c r="P366" s="5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5"/>
      <c r="O367" s="5"/>
      <c r="P367" s="5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5"/>
      <c r="O368" s="5"/>
      <c r="P368" s="5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5"/>
      <c r="O369" s="5"/>
      <c r="P369" s="5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5"/>
      <c r="O370" s="5"/>
      <c r="P370" s="5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5"/>
      <c r="O371" s="5"/>
      <c r="P371" s="5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5"/>
      <c r="O372" s="5"/>
      <c r="P372" s="5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5"/>
      <c r="O373" s="5"/>
      <c r="P373" s="5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5"/>
      <c r="O374" s="5"/>
      <c r="P374" s="5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5"/>
      <c r="O375" s="5"/>
      <c r="P375" s="5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5"/>
      <c r="O376" s="5"/>
      <c r="P376" s="5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5"/>
      <c r="O377" s="5"/>
      <c r="P377" s="5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5"/>
      <c r="O378" s="5"/>
      <c r="P378" s="5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5"/>
      <c r="O379" s="5"/>
      <c r="P379" s="5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5"/>
      <c r="O380" s="5"/>
      <c r="P380" s="5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5"/>
      <c r="O381" s="5"/>
      <c r="P381" s="5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5"/>
      <c r="O382" s="5"/>
      <c r="P382" s="5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5"/>
      <c r="O383" s="5"/>
      <c r="P383" s="5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5"/>
      <c r="O384" s="5"/>
      <c r="P384" s="5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5"/>
      <c r="O385" s="5"/>
      <c r="P385" s="5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5"/>
      <c r="O386" s="5"/>
      <c r="P386" s="5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5"/>
      <c r="O387" s="5"/>
      <c r="P387" s="5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5"/>
      <c r="O388" s="5"/>
      <c r="P388" s="5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5"/>
      <c r="O389" s="5"/>
      <c r="P389" s="5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5"/>
      <c r="O390" s="5"/>
      <c r="P390" s="5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5"/>
      <c r="O391" s="5"/>
      <c r="P391" s="5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5"/>
      <c r="O392" s="5"/>
      <c r="P392" s="5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5"/>
      <c r="O393" s="5"/>
      <c r="P393" s="5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5"/>
      <c r="O394" s="5"/>
      <c r="P394" s="5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5"/>
      <c r="O395" s="5"/>
      <c r="P395" s="5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5"/>
      <c r="O396" s="5"/>
      <c r="P396" s="5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5"/>
      <c r="O397" s="5"/>
      <c r="P397" s="5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5"/>
      <c r="O398" s="5"/>
      <c r="P398" s="5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5"/>
      <c r="O399" s="5"/>
      <c r="P399" s="5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5"/>
      <c r="O400" s="5"/>
      <c r="P400" s="5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5"/>
      <c r="O401" s="5"/>
      <c r="P401" s="5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5"/>
      <c r="O402" s="5"/>
      <c r="P402" s="5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5"/>
      <c r="O403" s="5"/>
      <c r="P403" s="5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5"/>
      <c r="O404" s="5"/>
      <c r="P404" s="5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5"/>
      <c r="O405" s="5"/>
      <c r="P405" s="5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5"/>
      <c r="O406" s="5"/>
      <c r="P406" s="5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5"/>
      <c r="O407" s="5"/>
      <c r="P407" s="5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5"/>
      <c r="O408" s="5"/>
      <c r="P408" s="5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5"/>
      <c r="O409" s="5"/>
      <c r="P409" s="5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5"/>
      <c r="O410" s="5"/>
      <c r="P410" s="5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5"/>
      <c r="O411" s="5"/>
      <c r="P411" s="5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5"/>
      <c r="O412" s="5"/>
      <c r="P412" s="5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5"/>
      <c r="O413" s="5"/>
      <c r="P413" s="5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5"/>
      <c r="O414" s="5"/>
      <c r="P414" s="5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5"/>
      <c r="O415" s="5"/>
      <c r="P415" s="5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5"/>
      <c r="O416" s="5"/>
      <c r="P416" s="5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5"/>
      <c r="O417" s="5"/>
      <c r="P417" s="5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5"/>
      <c r="O418" s="5"/>
      <c r="P418" s="5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5"/>
      <c r="O419" s="5"/>
      <c r="P419" s="5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5"/>
      <c r="O420" s="5"/>
      <c r="P420" s="5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5"/>
      <c r="O421" s="5"/>
      <c r="P421" s="5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5"/>
      <c r="O422" s="5"/>
      <c r="P422" s="5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5"/>
      <c r="O423" s="5"/>
      <c r="P423" s="5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5"/>
      <c r="O424" s="5"/>
      <c r="P424" s="5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5"/>
      <c r="O425" s="5"/>
      <c r="P425" s="5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5"/>
      <c r="O426" s="5"/>
      <c r="P426" s="5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5"/>
      <c r="O427" s="5"/>
      <c r="P427" s="5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5"/>
      <c r="O428" s="5"/>
      <c r="P428" s="5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5"/>
      <c r="O429" s="5"/>
      <c r="P429" s="5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5"/>
      <c r="O430" s="5"/>
      <c r="P430" s="5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5"/>
      <c r="O431" s="5"/>
      <c r="P431" s="5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5"/>
      <c r="O432" s="5"/>
      <c r="P432" s="5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5"/>
      <c r="O433" s="5"/>
      <c r="P433" s="5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5"/>
      <c r="O434" s="5"/>
      <c r="P434" s="5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5"/>
      <c r="O435" s="5"/>
      <c r="P435" s="5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5"/>
      <c r="O436" s="5"/>
      <c r="P436" s="5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5"/>
      <c r="O437" s="5"/>
      <c r="P437" s="5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5"/>
      <c r="O438" s="5"/>
      <c r="P438" s="5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5"/>
      <c r="O439" s="5"/>
      <c r="P439" s="5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5"/>
      <c r="O440" s="5"/>
      <c r="P440" s="5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5"/>
      <c r="O441" s="5"/>
      <c r="P441" s="5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5"/>
      <c r="O442" s="5"/>
      <c r="P442" s="5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5"/>
      <c r="O443" s="5"/>
      <c r="P443" s="5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5"/>
      <c r="O444" s="5"/>
      <c r="P444" s="5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5"/>
      <c r="O445" s="5"/>
      <c r="P445" s="5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5"/>
      <c r="O446" s="5"/>
      <c r="P446" s="5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5"/>
      <c r="O447" s="5"/>
      <c r="P447" s="5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5"/>
      <c r="O448" s="5"/>
      <c r="P448" s="5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5"/>
      <c r="O449" s="5"/>
      <c r="P449" s="5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5"/>
      <c r="O450" s="5"/>
      <c r="P450" s="5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5"/>
      <c r="O451" s="5"/>
      <c r="P451" s="5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5"/>
      <c r="O452" s="5"/>
      <c r="P452" s="5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5"/>
      <c r="O453" s="5"/>
      <c r="P453" s="5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5"/>
      <c r="O454" s="5"/>
      <c r="P454" s="5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5"/>
      <c r="O455" s="5"/>
      <c r="P455" s="5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5"/>
      <c r="O456" s="5"/>
      <c r="P456" s="5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5"/>
      <c r="O457" s="5"/>
      <c r="P457" s="5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5"/>
      <c r="O458" s="5"/>
      <c r="P458" s="5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5"/>
      <c r="O459" s="5"/>
      <c r="P459" s="5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5"/>
      <c r="O460" s="5"/>
      <c r="P460" s="5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5"/>
      <c r="O461" s="5"/>
      <c r="P461" s="5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5"/>
      <c r="O462" s="5"/>
      <c r="P462" s="5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5"/>
      <c r="O463" s="5"/>
      <c r="P463" s="5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5"/>
      <c r="O464" s="5"/>
      <c r="P464" s="5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5"/>
      <c r="O465" s="5"/>
      <c r="P465" s="5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5"/>
      <c r="O466" s="5"/>
      <c r="P466" s="5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5"/>
      <c r="O467" s="5"/>
      <c r="P467" s="5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5"/>
      <c r="O468" s="5"/>
      <c r="P468" s="5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5"/>
      <c r="O469" s="5"/>
      <c r="P469" s="5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5"/>
      <c r="O470" s="5"/>
      <c r="P470" s="5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5"/>
      <c r="O471" s="5"/>
      <c r="P471" s="5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5"/>
      <c r="O472" s="5"/>
      <c r="P472" s="5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5"/>
      <c r="O473" s="5"/>
      <c r="P473" s="5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5"/>
      <c r="O474" s="5"/>
      <c r="P474" s="5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5"/>
      <c r="O475" s="5"/>
      <c r="P475" s="5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5"/>
      <c r="O476" s="5"/>
      <c r="P476" s="5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5"/>
      <c r="O477" s="5"/>
      <c r="P477" s="5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5"/>
      <c r="O478" s="5"/>
      <c r="P478" s="5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5"/>
      <c r="O479" s="5"/>
      <c r="P479" s="5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5"/>
      <c r="O480" s="5"/>
      <c r="P480" s="5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5"/>
      <c r="O481" s="5"/>
      <c r="P481" s="5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5"/>
      <c r="O482" s="5"/>
      <c r="P482" s="5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5"/>
      <c r="O483" s="5"/>
      <c r="P483" s="5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5"/>
      <c r="O484" s="5"/>
      <c r="P484" s="5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5"/>
      <c r="O485" s="5"/>
      <c r="P485" s="5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5"/>
      <c r="O486" s="5"/>
      <c r="P486" s="5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5"/>
      <c r="O487" s="5"/>
      <c r="P487" s="5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5"/>
      <c r="O488" s="5"/>
      <c r="P488" s="5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5"/>
      <c r="O489" s="5"/>
      <c r="P489" s="5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5"/>
      <c r="O490" s="5"/>
      <c r="P490" s="5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5"/>
      <c r="O491" s="5"/>
      <c r="P491" s="5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5"/>
      <c r="O492" s="5"/>
      <c r="P492" s="5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5"/>
      <c r="O493" s="5"/>
      <c r="P493" s="5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5"/>
      <c r="O494" s="5"/>
      <c r="P494" s="5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5"/>
      <c r="O495" s="5"/>
      <c r="P495" s="5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5"/>
      <c r="O496" s="5"/>
      <c r="P496" s="5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5"/>
      <c r="O497" s="5"/>
      <c r="P497" s="5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5"/>
      <c r="O498" s="5"/>
      <c r="P498" s="5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5"/>
      <c r="O499" s="5"/>
      <c r="P499" s="5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5"/>
      <c r="O500" s="5"/>
      <c r="P500" s="5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5"/>
      <c r="O501" s="5"/>
      <c r="P501" s="5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5"/>
      <c r="O502" s="5"/>
      <c r="P502" s="5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5"/>
      <c r="O503" s="5"/>
      <c r="P503" s="5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5"/>
      <c r="O504" s="5"/>
      <c r="P504" s="5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5"/>
      <c r="O505" s="5"/>
      <c r="P505" s="5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5"/>
      <c r="O506" s="5"/>
      <c r="P506" s="5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5"/>
      <c r="O507" s="5"/>
      <c r="P507" s="5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5"/>
      <c r="O508" s="5"/>
      <c r="P508" s="5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5"/>
      <c r="O509" s="5"/>
      <c r="P509" s="5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5"/>
      <c r="O510" s="5"/>
      <c r="P510" s="5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5"/>
      <c r="O511" s="5"/>
      <c r="P511" s="5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5"/>
      <c r="O512" s="5"/>
      <c r="P512" s="5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5"/>
      <c r="O513" s="5"/>
      <c r="P513" s="5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5"/>
      <c r="O514" s="5"/>
      <c r="P514" s="5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5"/>
      <c r="O515" s="5"/>
      <c r="P515" s="5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5"/>
      <c r="O516" s="5"/>
      <c r="P516" s="5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5"/>
      <c r="O517" s="5"/>
      <c r="P517" s="5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5"/>
      <c r="O518" s="5"/>
      <c r="P518" s="5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5"/>
      <c r="O519" s="5"/>
      <c r="P519" s="5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5"/>
      <c r="O520" s="5"/>
      <c r="P520" s="5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5"/>
      <c r="O521" s="5"/>
      <c r="P521" s="5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5"/>
      <c r="O522" s="5"/>
      <c r="P522" s="5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5"/>
      <c r="O523" s="5"/>
      <c r="P523" s="5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5"/>
      <c r="O524" s="5"/>
      <c r="P524" s="5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5"/>
      <c r="O525" s="5"/>
      <c r="P525" s="5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5"/>
      <c r="O526" s="5"/>
      <c r="P526" s="5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5"/>
      <c r="O527" s="5"/>
      <c r="P527" s="5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5"/>
      <c r="O528" s="5"/>
      <c r="P528" s="5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5"/>
      <c r="O529" s="5"/>
      <c r="P529" s="5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5"/>
      <c r="O530" s="5"/>
      <c r="P530" s="5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5"/>
      <c r="O531" s="5"/>
      <c r="P531" s="5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5"/>
      <c r="O532" s="5"/>
      <c r="P532" s="5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5"/>
      <c r="O533" s="5"/>
      <c r="P533" s="5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5"/>
      <c r="O534" s="5"/>
      <c r="P534" s="5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5"/>
      <c r="O535" s="5"/>
      <c r="P535" s="5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5"/>
      <c r="O536" s="5"/>
      <c r="P536" s="5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5"/>
      <c r="O537" s="5"/>
      <c r="P537" s="5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5"/>
      <c r="O538" s="5"/>
      <c r="P538" s="5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5"/>
      <c r="O539" s="5"/>
      <c r="P539" s="5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5"/>
      <c r="O540" s="5"/>
      <c r="P540" s="5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5"/>
      <c r="O541" s="5"/>
      <c r="P541" s="5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5"/>
      <c r="O542" s="5"/>
      <c r="P542" s="5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5"/>
      <c r="O543" s="5"/>
      <c r="P543" s="5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5"/>
      <c r="O544" s="5"/>
      <c r="P544" s="5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5"/>
      <c r="O545" s="5"/>
      <c r="P545" s="5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5"/>
      <c r="O546" s="5"/>
      <c r="P546" s="5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5"/>
      <c r="O547" s="5"/>
      <c r="P547" s="5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5"/>
      <c r="O548" s="5"/>
      <c r="P548" s="5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5"/>
      <c r="O549" s="5"/>
      <c r="P549" s="5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5"/>
      <c r="O550" s="5"/>
      <c r="P550" s="5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5"/>
      <c r="O551" s="5"/>
      <c r="P551" s="5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5"/>
      <c r="O552" s="5"/>
      <c r="P552" s="5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5"/>
      <c r="O553" s="5"/>
      <c r="P553" s="5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5"/>
      <c r="O554" s="5"/>
      <c r="P554" s="5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5"/>
      <c r="O555" s="5"/>
      <c r="P555" s="5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5"/>
      <c r="O556" s="5"/>
      <c r="P556" s="5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5"/>
      <c r="O557" s="5"/>
      <c r="P557" s="5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5"/>
      <c r="O558" s="5"/>
      <c r="P558" s="5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5"/>
      <c r="O559" s="5"/>
      <c r="P559" s="5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5"/>
      <c r="O560" s="5"/>
      <c r="P560" s="5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5"/>
      <c r="O561" s="5"/>
      <c r="P561" s="5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5"/>
      <c r="O562" s="5"/>
      <c r="P562" s="5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5"/>
      <c r="O563" s="5"/>
      <c r="P563" s="5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5"/>
      <c r="O564" s="5"/>
      <c r="P564" s="5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5"/>
      <c r="O565" s="5"/>
      <c r="P565" s="5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5"/>
      <c r="O566" s="5"/>
      <c r="P566" s="5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5"/>
      <c r="O567" s="5"/>
      <c r="P567" s="5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5"/>
      <c r="O568" s="5"/>
      <c r="P568" s="5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5"/>
      <c r="O569" s="5"/>
      <c r="P569" s="5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5"/>
      <c r="O570" s="5"/>
      <c r="P570" s="5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5"/>
      <c r="O571" s="5"/>
      <c r="P571" s="5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5"/>
      <c r="O572" s="5"/>
      <c r="P572" s="5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5"/>
      <c r="O573" s="5"/>
      <c r="P573" s="5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5"/>
      <c r="O574" s="5"/>
      <c r="P574" s="5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5"/>
      <c r="O575" s="5"/>
      <c r="P575" s="5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5"/>
      <c r="O576" s="5"/>
      <c r="P576" s="5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5"/>
      <c r="O577" s="5"/>
      <c r="P577" s="5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5"/>
      <c r="O578" s="5"/>
      <c r="P578" s="5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5"/>
      <c r="O579" s="5"/>
      <c r="P579" s="5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5"/>
      <c r="O580" s="5"/>
      <c r="P580" s="5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5"/>
      <c r="O581" s="5"/>
      <c r="P581" s="5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5"/>
      <c r="O582" s="5"/>
      <c r="P582" s="5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5"/>
      <c r="O583" s="5"/>
      <c r="P583" s="5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5"/>
      <c r="O584" s="5"/>
      <c r="P584" s="5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5"/>
      <c r="O585" s="5"/>
      <c r="P585" s="5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5"/>
      <c r="O586" s="5"/>
      <c r="P586" s="5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5"/>
      <c r="O587" s="5"/>
      <c r="P587" s="5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5"/>
      <c r="O588" s="5"/>
      <c r="P588" s="5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5"/>
      <c r="O589" s="5"/>
      <c r="P589" s="5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5"/>
      <c r="O590" s="5"/>
      <c r="P590" s="5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5"/>
      <c r="O591" s="5"/>
      <c r="P591" s="5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5"/>
      <c r="O592" s="5"/>
      <c r="P592" s="5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5"/>
      <c r="O593" s="5"/>
      <c r="P593" s="5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5"/>
      <c r="O594" s="5"/>
      <c r="P594" s="5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5"/>
      <c r="O595" s="5"/>
      <c r="P595" s="5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5"/>
      <c r="O596" s="5"/>
      <c r="P596" s="5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5"/>
      <c r="O597" s="5"/>
      <c r="P597" s="5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5"/>
      <c r="O598" s="5"/>
      <c r="P598" s="5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5"/>
      <c r="O599" s="5"/>
      <c r="P599" s="5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5"/>
      <c r="O600" s="5"/>
      <c r="P600" s="5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5"/>
      <c r="O601" s="5"/>
      <c r="P601" s="5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5"/>
      <c r="O602" s="5"/>
      <c r="P602" s="5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5"/>
      <c r="O603" s="5"/>
      <c r="P603" s="5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5"/>
      <c r="O604" s="5"/>
      <c r="P604" s="5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5"/>
      <c r="O605" s="5"/>
      <c r="P605" s="5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5"/>
      <c r="O606" s="5"/>
      <c r="P606" s="5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5"/>
      <c r="O607" s="5"/>
      <c r="P607" s="5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5"/>
      <c r="O608" s="5"/>
      <c r="P608" s="5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5"/>
      <c r="O609" s="5"/>
      <c r="P609" s="5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5"/>
      <c r="O610" s="5"/>
      <c r="P610" s="5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5"/>
      <c r="O611" s="5"/>
      <c r="P611" s="5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5"/>
      <c r="O612" s="5"/>
      <c r="P612" s="5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5"/>
      <c r="O613" s="5"/>
      <c r="P613" s="5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5"/>
      <c r="O614" s="5"/>
      <c r="P614" s="5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5"/>
      <c r="O615" s="5"/>
      <c r="P615" s="5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5"/>
      <c r="O616" s="5"/>
      <c r="P616" s="5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5"/>
      <c r="O617" s="5"/>
      <c r="P617" s="5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5"/>
      <c r="O618" s="5"/>
      <c r="P618" s="5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5"/>
      <c r="O619" s="5"/>
      <c r="P619" s="5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5"/>
      <c r="O620" s="5"/>
      <c r="P620" s="5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5"/>
      <c r="O621" s="5"/>
      <c r="P621" s="5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5"/>
      <c r="O622" s="5"/>
      <c r="P622" s="5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5"/>
      <c r="O623" s="5"/>
      <c r="P623" s="5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5"/>
      <c r="O624" s="5"/>
      <c r="P624" s="5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5"/>
      <c r="O625" s="5"/>
      <c r="P625" s="5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5"/>
      <c r="O626" s="5"/>
      <c r="P626" s="5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5"/>
      <c r="O627" s="5"/>
      <c r="P627" s="5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5"/>
      <c r="O628" s="5"/>
      <c r="P628" s="5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5"/>
      <c r="O629" s="5"/>
      <c r="P629" s="5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5"/>
      <c r="O630" s="5"/>
      <c r="P630" s="5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5"/>
      <c r="O631" s="5"/>
      <c r="P631" s="5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5"/>
      <c r="O632" s="5"/>
      <c r="P632" s="5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5"/>
      <c r="O633" s="5"/>
      <c r="P633" s="5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5"/>
      <c r="O634" s="5"/>
      <c r="P634" s="5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5"/>
      <c r="O635" s="5"/>
      <c r="P635" s="5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5"/>
      <c r="O636" s="5"/>
      <c r="P636" s="5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5"/>
      <c r="O637" s="5"/>
      <c r="P637" s="5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5"/>
      <c r="O638" s="5"/>
      <c r="P638" s="5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5"/>
      <c r="O639" s="5"/>
      <c r="P639" s="5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5"/>
      <c r="O640" s="5"/>
      <c r="P640" s="5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5"/>
      <c r="O641" s="5"/>
      <c r="P641" s="5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5"/>
      <c r="O642" s="5"/>
      <c r="P642" s="5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5"/>
      <c r="O643" s="5"/>
      <c r="P643" s="5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5"/>
      <c r="O644" s="5"/>
      <c r="P644" s="5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5"/>
      <c r="O645" s="5"/>
      <c r="P645" s="5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5"/>
      <c r="O646" s="5"/>
      <c r="P646" s="5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5"/>
      <c r="O647" s="5"/>
      <c r="P647" s="5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5"/>
      <c r="O648" s="5"/>
      <c r="P648" s="5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5"/>
      <c r="O649" s="5"/>
      <c r="P649" s="5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5"/>
      <c r="O650" s="5"/>
      <c r="P650" s="5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5"/>
      <c r="O651" s="5"/>
      <c r="P651" s="5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5"/>
      <c r="O652" s="5"/>
      <c r="P652" s="5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5"/>
      <c r="O653" s="5"/>
      <c r="P653" s="5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5"/>
      <c r="O654" s="5"/>
      <c r="P654" s="5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5"/>
      <c r="O655" s="5"/>
      <c r="P655" s="5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5"/>
      <c r="O656" s="5"/>
      <c r="P656" s="5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5"/>
      <c r="O657" s="5"/>
      <c r="P657" s="5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5"/>
      <c r="O658" s="5"/>
      <c r="P658" s="5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5"/>
      <c r="O659" s="5"/>
      <c r="P659" s="5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5"/>
      <c r="O660" s="5"/>
      <c r="P660" s="5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5"/>
      <c r="O661" s="5"/>
      <c r="P661" s="5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5"/>
      <c r="O662" s="5"/>
      <c r="P662" s="5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5"/>
      <c r="O663" s="5"/>
      <c r="P663" s="5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5"/>
      <c r="O664" s="5"/>
      <c r="P664" s="5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5"/>
      <c r="O665" s="5"/>
      <c r="P665" s="5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5"/>
      <c r="O666" s="5"/>
      <c r="P666" s="5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5"/>
      <c r="O667" s="5"/>
      <c r="P667" s="5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5"/>
      <c r="O668" s="5"/>
      <c r="P668" s="5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5"/>
      <c r="O669" s="5"/>
      <c r="P669" s="5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5"/>
      <c r="O670" s="5"/>
      <c r="P670" s="5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5"/>
      <c r="O671" s="5"/>
      <c r="P671" s="5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5"/>
      <c r="O672" s="5"/>
      <c r="P672" s="5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5"/>
      <c r="O673" s="5"/>
      <c r="P673" s="5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5"/>
      <c r="O674" s="5"/>
      <c r="P674" s="5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5"/>
      <c r="O675" s="5"/>
      <c r="P675" s="5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5"/>
      <c r="O676" s="5"/>
      <c r="P676" s="5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5"/>
      <c r="O677" s="5"/>
      <c r="P677" s="5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5"/>
      <c r="O678" s="5"/>
      <c r="P678" s="5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5"/>
      <c r="O679" s="5"/>
      <c r="P679" s="5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5"/>
      <c r="O680" s="5"/>
      <c r="P680" s="5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5"/>
      <c r="O681" s="5"/>
      <c r="P681" s="5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5"/>
      <c r="O682" s="5"/>
      <c r="P682" s="5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5"/>
      <c r="O683" s="5"/>
      <c r="P683" s="5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5"/>
      <c r="O684" s="5"/>
      <c r="P684" s="5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5"/>
      <c r="O685" s="5"/>
      <c r="P685" s="5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5"/>
      <c r="O686" s="5"/>
      <c r="P686" s="5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5"/>
      <c r="O687" s="5"/>
      <c r="P687" s="5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5"/>
      <c r="O688" s="5"/>
      <c r="P688" s="5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5"/>
      <c r="O689" s="5"/>
      <c r="P689" s="5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5"/>
      <c r="O690" s="5"/>
      <c r="P690" s="5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5"/>
      <c r="O691" s="5"/>
      <c r="P691" s="5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5"/>
      <c r="O692" s="5"/>
      <c r="P692" s="5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5"/>
      <c r="O693" s="5"/>
      <c r="P693" s="5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5"/>
      <c r="O694" s="5"/>
      <c r="P694" s="5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5"/>
      <c r="O695" s="5"/>
      <c r="P695" s="5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5"/>
      <c r="O696" s="5"/>
      <c r="P696" s="5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5"/>
      <c r="O697" s="5"/>
      <c r="P697" s="5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5"/>
      <c r="O698" s="5"/>
      <c r="P698" s="5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5"/>
      <c r="O699" s="5"/>
      <c r="P699" s="5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5"/>
      <c r="O700" s="5"/>
      <c r="P700" s="5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5"/>
      <c r="O701" s="5"/>
      <c r="P701" s="5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5"/>
      <c r="O702" s="5"/>
      <c r="P702" s="5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5"/>
      <c r="O703" s="5"/>
      <c r="P703" s="5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5"/>
      <c r="O704" s="5"/>
      <c r="P704" s="5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5"/>
      <c r="O705" s="5"/>
      <c r="P705" s="5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5"/>
      <c r="O706" s="5"/>
      <c r="P706" s="5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5"/>
      <c r="O707" s="5"/>
      <c r="P707" s="5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5"/>
      <c r="O708" s="5"/>
      <c r="P708" s="5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5"/>
      <c r="O709" s="5"/>
      <c r="P709" s="5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5"/>
      <c r="O710" s="5"/>
      <c r="P710" s="5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5"/>
      <c r="O711" s="5"/>
      <c r="P711" s="5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5"/>
      <c r="O712" s="5"/>
      <c r="P712" s="5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5"/>
      <c r="O713" s="5"/>
      <c r="P713" s="5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5"/>
      <c r="O714" s="5"/>
      <c r="P714" s="5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5"/>
      <c r="O715" s="5"/>
      <c r="P715" s="5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5"/>
      <c r="O716" s="5"/>
      <c r="P716" s="5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5"/>
      <c r="O717" s="5"/>
      <c r="P717" s="5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5"/>
      <c r="O718" s="5"/>
      <c r="P718" s="5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5"/>
      <c r="O719" s="5"/>
      <c r="P719" s="5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5"/>
      <c r="O720" s="5"/>
      <c r="P720" s="5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5"/>
      <c r="O721" s="5"/>
      <c r="P721" s="5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5"/>
      <c r="O722" s="5"/>
      <c r="P722" s="5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5"/>
      <c r="O723" s="5"/>
      <c r="P723" s="5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5"/>
      <c r="O724" s="5"/>
      <c r="P724" s="5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5"/>
      <c r="O725" s="5"/>
      <c r="P725" s="5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5"/>
      <c r="O726" s="5"/>
      <c r="P726" s="5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5"/>
      <c r="O727" s="5"/>
      <c r="P727" s="5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5"/>
      <c r="O728" s="5"/>
      <c r="P728" s="5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5"/>
      <c r="O729" s="5"/>
      <c r="P729" s="5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5"/>
      <c r="O730" s="5"/>
      <c r="P730" s="5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5"/>
      <c r="O731" s="5"/>
      <c r="P731" s="5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5"/>
      <c r="O732" s="5"/>
      <c r="P732" s="5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5"/>
      <c r="O733" s="5"/>
      <c r="P733" s="5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5"/>
      <c r="O734" s="5"/>
      <c r="P734" s="5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5"/>
      <c r="O735" s="5"/>
      <c r="P735" s="5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5"/>
      <c r="O736" s="5"/>
      <c r="P736" s="5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5"/>
      <c r="O737" s="5"/>
      <c r="P737" s="5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5"/>
      <c r="O738" s="5"/>
      <c r="P738" s="5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5"/>
      <c r="O739" s="5"/>
      <c r="P739" s="5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5"/>
      <c r="O740" s="5"/>
      <c r="P740" s="5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5"/>
      <c r="O741" s="5"/>
      <c r="P741" s="5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5"/>
      <c r="O742" s="5"/>
      <c r="P742" s="5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5"/>
      <c r="O743" s="5"/>
      <c r="P743" s="5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5"/>
      <c r="O744" s="5"/>
      <c r="P744" s="5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5"/>
      <c r="O745" s="5"/>
      <c r="P745" s="5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5"/>
      <c r="O746" s="5"/>
      <c r="P746" s="5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5"/>
      <c r="O747" s="5"/>
      <c r="P747" s="5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5"/>
      <c r="O748" s="5"/>
      <c r="P748" s="5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5"/>
      <c r="O749" s="5"/>
      <c r="P749" s="5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5"/>
      <c r="O750" s="5"/>
      <c r="P750" s="5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5"/>
      <c r="O751" s="5"/>
      <c r="P751" s="5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5"/>
      <c r="O752" s="5"/>
      <c r="P752" s="5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5"/>
      <c r="O753" s="5"/>
      <c r="P753" s="5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5"/>
      <c r="O754" s="5"/>
      <c r="P754" s="5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5"/>
      <c r="O755" s="5"/>
      <c r="P755" s="5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5"/>
      <c r="O756" s="5"/>
      <c r="P756" s="5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5"/>
      <c r="O757" s="5"/>
      <c r="P757" s="5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5"/>
      <c r="O758" s="5"/>
      <c r="P758" s="5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5"/>
      <c r="O759" s="5"/>
      <c r="P759" s="5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5"/>
      <c r="O760" s="5"/>
      <c r="P760" s="5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5"/>
      <c r="O761" s="5"/>
      <c r="P761" s="5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5"/>
      <c r="O762" s="5"/>
      <c r="P762" s="5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5"/>
      <c r="O763" s="5"/>
      <c r="P763" s="5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5"/>
      <c r="O764" s="5"/>
      <c r="P764" s="5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5"/>
      <c r="O765" s="5"/>
      <c r="P765" s="5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5"/>
      <c r="O766" s="5"/>
      <c r="P766" s="5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5"/>
      <c r="O767" s="5"/>
      <c r="P767" s="5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5"/>
      <c r="O768" s="5"/>
      <c r="P768" s="5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5"/>
      <c r="O769" s="5"/>
      <c r="P769" s="5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5"/>
      <c r="O770" s="5"/>
      <c r="P770" s="5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5"/>
      <c r="O771" s="5"/>
      <c r="P771" s="5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5"/>
      <c r="O772" s="5"/>
      <c r="P772" s="5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5"/>
      <c r="O773" s="5"/>
      <c r="P773" s="5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5"/>
      <c r="O774" s="5"/>
      <c r="P774" s="5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5"/>
      <c r="O775" s="5"/>
      <c r="P775" s="5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5"/>
      <c r="O776" s="5"/>
      <c r="P776" s="5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5"/>
      <c r="O777" s="5"/>
      <c r="P777" s="5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5"/>
      <c r="O778" s="5"/>
      <c r="P778" s="5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5"/>
      <c r="O779" s="5"/>
      <c r="P779" s="5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5"/>
      <c r="O780" s="5"/>
      <c r="P780" s="5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5"/>
      <c r="O781" s="5"/>
      <c r="P781" s="5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5"/>
      <c r="O782" s="5"/>
      <c r="P782" s="5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5"/>
      <c r="O783" s="5"/>
      <c r="P783" s="5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5"/>
      <c r="O784" s="5"/>
      <c r="P784" s="5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5"/>
      <c r="O785" s="5"/>
      <c r="P785" s="5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5"/>
      <c r="O786" s="5"/>
      <c r="P786" s="5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5"/>
      <c r="O787" s="5"/>
      <c r="P787" s="5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5"/>
      <c r="O788" s="5"/>
      <c r="P788" s="5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5"/>
      <c r="O789" s="5"/>
      <c r="P789" s="5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5"/>
      <c r="O790" s="5"/>
      <c r="P790" s="5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5"/>
      <c r="O791" s="5"/>
      <c r="P791" s="5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5"/>
      <c r="O792" s="5"/>
      <c r="P792" s="5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5"/>
      <c r="O793" s="5"/>
      <c r="P793" s="5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5"/>
      <c r="O794" s="5"/>
      <c r="P794" s="5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5"/>
      <c r="O795" s="5"/>
      <c r="P795" s="5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5"/>
      <c r="O796" s="5"/>
      <c r="P796" s="5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5"/>
      <c r="O797" s="5"/>
      <c r="P797" s="5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5"/>
      <c r="O798" s="5"/>
      <c r="P798" s="5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5"/>
      <c r="O799" s="5"/>
      <c r="P799" s="5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5"/>
      <c r="O800" s="5"/>
      <c r="P800" s="5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5"/>
      <c r="O801" s="5"/>
      <c r="P801" s="5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5"/>
      <c r="O802" s="5"/>
      <c r="P802" s="5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5"/>
      <c r="O803" s="5"/>
      <c r="P803" s="5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5"/>
      <c r="O804" s="5"/>
      <c r="P804" s="5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5"/>
      <c r="O805" s="5"/>
      <c r="P805" s="5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5"/>
      <c r="O806" s="5"/>
      <c r="P806" s="5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5"/>
      <c r="O807" s="5"/>
      <c r="P807" s="5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5"/>
      <c r="O808" s="5"/>
      <c r="P808" s="5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5"/>
      <c r="O809" s="5"/>
      <c r="P809" s="5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5"/>
      <c r="O810" s="5"/>
      <c r="P810" s="5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5"/>
      <c r="O811" s="5"/>
      <c r="P811" s="5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5"/>
      <c r="O812" s="5"/>
      <c r="P812" s="5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5"/>
      <c r="O813" s="5"/>
      <c r="P813" s="5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5"/>
      <c r="O814" s="5"/>
      <c r="P814" s="5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5"/>
      <c r="O815" s="5"/>
      <c r="P815" s="5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5"/>
      <c r="O816" s="5"/>
      <c r="P816" s="5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5"/>
      <c r="O817" s="5"/>
      <c r="P817" s="5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5"/>
      <c r="O818" s="5"/>
      <c r="P818" s="5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5"/>
      <c r="O819" s="5"/>
      <c r="P819" s="5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5"/>
      <c r="O820" s="5"/>
      <c r="P820" s="5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5"/>
      <c r="O821" s="5"/>
      <c r="P821" s="5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5"/>
      <c r="O822" s="5"/>
      <c r="P822" s="5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5"/>
      <c r="O823" s="5"/>
      <c r="P823" s="5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5"/>
      <c r="O824" s="5"/>
      <c r="P824" s="5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5"/>
      <c r="O825" s="5"/>
      <c r="P825" s="5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5"/>
      <c r="O826" s="5"/>
      <c r="P826" s="5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5"/>
      <c r="O827" s="5"/>
      <c r="P827" s="5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5"/>
      <c r="O828" s="5"/>
      <c r="P828" s="5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5"/>
      <c r="O829" s="5"/>
      <c r="P829" s="5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5"/>
      <c r="O830" s="5"/>
      <c r="P830" s="5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5"/>
      <c r="O831" s="5"/>
      <c r="P831" s="5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5"/>
      <c r="O832" s="5"/>
      <c r="P832" s="5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5"/>
      <c r="O833" s="5"/>
      <c r="P833" s="5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5"/>
      <c r="O834" s="5"/>
      <c r="P834" s="5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5"/>
      <c r="O835" s="5"/>
      <c r="P835" s="5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5"/>
      <c r="O836" s="5"/>
      <c r="P836" s="5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5"/>
      <c r="O837" s="5"/>
      <c r="P837" s="5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5"/>
      <c r="O838" s="5"/>
      <c r="P838" s="5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5"/>
      <c r="O839" s="5"/>
      <c r="P839" s="5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5"/>
      <c r="O840" s="5"/>
      <c r="P840" s="5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5"/>
      <c r="O841" s="5"/>
      <c r="P841" s="5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5"/>
      <c r="O842" s="5"/>
      <c r="P842" s="5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5"/>
      <c r="O843" s="5"/>
      <c r="P843" s="5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5"/>
      <c r="O844" s="5"/>
      <c r="P844" s="5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5"/>
      <c r="O845" s="5"/>
      <c r="P845" s="5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5"/>
      <c r="O846" s="5"/>
      <c r="P846" s="5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5"/>
      <c r="O847" s="5"/>
      <c r="P847" s="5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5"/>
      <c r="O848" s="5"/>
      <c r="P848" s="5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5"/>
      <c r="O849" s="5"/>
      <c r="P849" s="5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5"/>
      <c r="O850" s="5"/>
      <c r="P850" s="5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5"/>
      <c r="O851" s="5"/>
      <c r="P851" s="5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5"/>
      <c r="O852" s="5"/>
      <c r="P852" s="5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5"/>
      <c r="O853" s="5"/>
      <c r="P853" s="5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5"/>
      <c r="O854" s="5"/>
      <c r="P854" s="5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5"/>
      <c r="O855" s="5"/>
      <c r="P855" s="5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5"/>
      <c r="O856" s="5"/>
      <c r="P856" s="5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5"/>
      <c r="O857" s="5"/>
      <c r="P857" s="5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5"/>
      <c r="O858" s="5"/>
      <c r="P858" s="5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5"/>
      <c r="O859" s="5"/>
      <c r="P859" s="5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5"/>
      <c r="O860" s="5"/>
      <c r="P860" s="5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5"/>
      <c r="O861" s="5"/>
      <c r="P861" s="5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5"/>
      <c r="O862" s="5"/>
      <c r="P862" s="5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5"/>
      <c r="O863" s="5"/>
      <c r="P863" s="5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5"/>
      <c r="O864" s="5"/>
      <c r="P864" s="5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5"/>
      <c r="O865" s="5"/>
      <c r="P865" s="5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5"/>
      <c r="O866" s="5"/>
      <c r="P866" s="5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5"/>
      <c r="O867" s="5"/>
      <c r="P867" s="5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5"/>
      <c r="O868" s="5"/>
      <c r="P868" s="5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5"/>
      <c r="O869" s="5"/>
      <c r="P869" s="5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5"/>
      <c r="O870" s="5"/>
      <c r="P870" s="5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5"/>
      <c r="O871" s="5"/>
      <c r="P871" s="5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5"/>
      <c r="O872" s="5"/>
      <c r="P872" s="5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5"/>
      <c r="O873" s="5"/>
      <c r="P873" s="5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5"/>
      <c r="O874" s="5"/>
      <c r="P874" s="5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5"/>
      <c r="O875" s="5"/>
      <c r="P875" s="5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5"/>
      <c r="O876" s="5"/>
      <c r="P876" s="5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5"/>
      <c r="O877" s="5"/>
      <c r="P877" s="5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5"/>
      <c r="O878" s="5"/>
      <c r="P878" s="5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5"/>
      <c r="O879" s="5"/>
      <c r="P879" s="5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5"/>
      <c r="O880" s="5"/>
      <c r="P880" s="5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5"/>
      <c r="O881" s="5"/>
      <c r="P881" s="5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5"/>
      <c r="O882" s="5"/>
      <c r="P882" s="5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5"/>
      <c r="O883" s="5"/>
      <c r="P883" s="5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5"/>
      <c r="O884" s="5"/>
      <c r="P884" s="5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5"/>
      <c r="O885" s="5"/>
      <c r="P885" s="5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5"/>
      <c r="O886" s="5"/>
      <c r="P886" s="5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5"/>
      <c r="O887" s="5"/>
      <c r="P887" s="5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5"/>
      <c r="O888" s="5"/>
      <c r="P888" s="5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5"/>
      <c r="O889" s="5"/>
      <c r="P889" s="5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5"/>
      <c r="O890" s="5"/>
      <c r="P890" s="5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5"/>
      <c r="O891" s="5"/>
      <c r="P891" s="5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5"/>
      <c r="O892" s="5"/>
      <c r="P892" s="5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5"/>
      <c r="O893" s="5"/>
      <c r="P893" s="5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5"/>
      <c r="O894" s="5"/>
      <c r="P894" s="5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5"/>
      <c r="O895" s="5"/>
      <c r="P895" s="5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5"/>
      <c r="O896" s="5"/>
      <c r="P896" s="5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5"/>
      <c r="O897" s="5"/>
      <c r="P897" s="5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5"/>
      <c r="O898" s="5"/>
      <c r="P898" s="5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5"/>
      <c r="O899" s="5"/>
      <c r="P899" s="5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5"/>
      <c r="O900" s="5"/>
      <c r="P900" s="5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5"/>
      <c r="O901" s="5"/>
      <c r="P901" s="5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5"/>
      <c r="O902" s="5"/>
      <c r="P902" s="5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5"/>
      <c r="O903" s="5"/>
      <c r="P903" s="5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5"/>
      <c r="O904" s="5"/>
      <c r="P904" s="5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5"/>
      <c r="O905" s="5"/>
      <c r="P905" s="5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5"/>
      <c r="O906" s="5"/>
      <c r="P906" s="5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5"/>
      <c r="O907" s="5"/>
      <c r="P907" s="5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5"/>
      <c r="O908" s="5"/>
      <c r="P908" s="5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5"/>
      <c r="O909" s="5"/>
      <c r="P909" s="5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5"/>
      <c r="O910" s="5"/>
      <c r="P910" s="5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5"/>
      <c r="O911" s="5"/>
      <c r="P911" s="5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5"/>
      <c r="O912" s="5"/>
      <c r="P912" s="5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5"/>
      <c r="O913" s="5"/>
      <c r="P913" s="5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5"/>
      <c r="O914" s="5"/>
      <c r="P914" s="5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5"/>
      <c r="O915" s="5"/>
      <c r="P915" s="5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5"/>
      <c r="O916" s="5"/>
      <c r="P916" s="5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5"/>
      <c r="O917" s="5"/>
      <c r="P917" s="5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5"/>
      <c r="O918" s="5"/>
      <c r="P918" s="5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5"/>
      <c r="O919" s="5"/>
      <c r="P919" s="5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5"/>
      <c r="O920" s="5"/>
      <c r="P920" s="5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5"/>
      <c r="O921" s="5"/>
      <c r="P921" s="5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5"/>
      <c r="O922" s="5"/>
      <c r="P922" s="5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5"/>
      <c r="O923" s="5"/>
      <c r="P923" s="5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5"/>
      <c r="O924" s="5"/>
      <c r="P924" s="5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5"/>
      <c r="O925" s="5"/>
      <c r="P925" s="5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5"/>
      <c r="O926" s="5"/>
      <c r="P926" s="5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5"/>
      <c r="O927" s="5"/>
      <c r="P927" s="5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5"/>
      <c r="O928" s="5"/>
      <c r="P928" s="5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5"/>
      <c r="O929" s="5"/>
      <c r="P929" s="5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5"/>
      <c r="O930" s="5"/>
      <c r="P930" s="5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5"/>
      <c r="O931" s="5"/>
      <c r="P931" s="5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5"/>
      <c r="O932" s="5"/>
      <c r="P932" s="5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5"/>
      <c r="O933" s="5"/>
      <c r="P933" s="5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5"/>
      <c r="O934" s="5"/>
      <c r="P934" s="5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5"/>
      <c r="O935" s="5"/>
      <c r="P935" s="5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5"/>
      <c r="O936" s="5"/>
      <c r="P936" s="5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5"/>
      <c r="O937" s="5"/>
      <c r="P937" s="5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5"/>
      <c r="O938" s="5"/>
      <c r="P938" s="5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5"/>
      <c r="O939" s="5"/>
      <c r="P939" s="5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5"/>
      <c r="O940" s="5"/>
      <c r="P940" s="5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5"/>
      <c r="O941" s="5"/>
      <c r="P941" s="5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5"/>
      <c r="O942" s="5"/>
      <c r="P942" s="5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5"/>
      <c r="O943" s="5"/>
      <c r="P943" s="5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5"/>
      <c r="O944" s="5"/>
      <c r="P944" s="5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5"/>
      <c r="O945" s="5"/>
      <c r="P945" s="5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5"/>
      <c r="O946" s="5"/>
      <c r="P946" s="5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5"/>
      <c r="O947" s="5"/>
      <c r="P947" s="5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5"/>
      <c r="O948" s="5"/>
      <c r="P948" s="5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5"/>
      <c r="O949" s="5"/>
      <c r="P949" s="5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5"/>
      <c r="O950" s="5"/>
      <c r="P950" s="5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5"/>
      <c r="O951" s="5"/>
      <c r="P951" s="5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5"/>
      <c r="O952" s="5"/>
      <c r="P952" s="5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5"/>
      <c r="O953" s="5"/>
      <c r="P953" s="5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5"/>
      <c r="O954" s="5"/>
      <c r="P954" s="5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5"/>
      <c r="O955" s="5"/>
      <c r="P955" s="5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5"/>
      <c r="O956" s="5"/>
      <c r="P956" s="5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5"/>
      <c r="O957" s="5"/>
      <c r="P957" s="5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5"/>
      <c r="O958" s="5"/>
      <c r="P958" s="5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5"/>
      <c r="O959" s="5"/>
      <c r="P959" s="5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5"/>
      <c r="O960" s="5"/>
      <c r="P960" s="5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5"/>
      <c r="O961" s="5"/>
      <c r="P961" s="5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5"/>
      <c r="O962" s="5"/>
      <c r="P962" s="5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5"/>
      <c r="O963" s="5"/>
      <c r="P963" s="5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5"/>
      <c r="O964" s="5"/>
      <c r="P964" s="5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5"/>
      <c r="O965" s="5"/>
      <c r="P965" s="5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5"/>
      <c r="O966" s="5"/>
      <c r="P966" s="5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5"/>
      <c r="O967" s="5"/>
      <c r="P967" s="5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5"/>
      <c r="O968" s="5"/>
      <c r="P968" s="5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5"/>
      <c r="O969" s="5"/>
      <c r="P969" s="5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5"/>
      <c r="O970" s="5"/>
      <c r="P970" s="5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5"/>
      <c r="O971" s="5"/>
      <c r="P971" s="5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5"/>
      <c r="O972" s="5"/>
      <c r="P972" s="5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5"/>
      <c r="O973" s="5"/>
      <c r="P973" s="5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5"/>
      <c r="O974" s="5"/>
      <c r="P974" s="5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5"/>
      <c r="O975" s="5"/>
      <c r="P975" s="5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5"/>
      <c r="O976" s="5"/>
      <c r="P976" s="5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5"/>
      <c r="O977" s="5"/>
      <c r="P977" s="5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5"/>
      <c r="O978" s="5"/>
      <c r="P978" s="5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5"/>
      <c r="O979" s="5"/>
      <c r="P979" s="5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5"/>
      <c r="O980" s="5"/>
      <c r="P980" s="5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5"/>
      <c r="O981" s="5"/>
      <c r="P981" s="5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5"/>
      <c r="O982" s="5"/>
      <c r="P982" s="5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5"/>
      <c r="O983" s="5"/>
      <c r="P983" s="5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5"/>
      <c r="O984" s="5"/>
      <c r="P984" s="5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5"/>
      <c r="O985" s="5"/>
      <c r="P985" s="5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5"/>
      <c r="O986" s="5"/>
      <c r="P986" s="5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5"/>
      <c r="O987" s="5"/>
      <c r="P987" s="5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5"/>
      <c r="O988" s="5"/>
      <c r="P988" s="5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5"/>
      <c r="O989" s="5"/>
      <c r="P989" s="5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5"/>
      <c r="O990" s="5"/>
      <c r="P990" s="5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5"/>
      <c r="O991" s="5"/>
      <c r="P991" s="5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5"/>
      <c r="O992" s="5"/>
      <c r="P992" s="5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5"/>
      <c r="O993" s="5"/>
      <c r="P993" s="5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5"/>
      <c r="O994" s="5"/>
      <c r="P994" s="5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5"/>
      <c r="O995" s="5"/>
      <c r="P995" s="5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5"/>
      <c r="O996" s="5"/>
      <c r="P996" s="5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5"/>
      <c r="O997" s="5"/>
      <c r="P997" s="5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5"/>
      <c r="O998" s="5"/>
      <c r="P998" s="5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5"/>
      <c r="O999" s="5"/>
      <c r="P999" s="5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5"/>
      <c r="O1000" s="5"/>
      <c r="P1000" s="5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5"/>
  <sheetViews>
    <sheetView showGridLines="0" workbookViewId="0">
      <selection activeCell="E60" sqref="E60"/>
    </sheetView>
  </sheetViews>
  <sheetFormatPr baseColWidth="10" defaultColWidth="14.453125" defaultRowHeight="15" customHeight="1" x14ac:dyDescent="0.35"/>
  <cols>
    <col min="1" max="1" width="7.453125" customWidth="1"/>
    <col min="2" max="2" width="16" customWidth="1"/>
    <col min="3" max="3" width="11.453125" customWidth="1"/>
    <col min="4" max="4" width="18.54296875" customWidth="1"/>
    <col min="5" max="5" width="25.08984375" customWidth="1"/>
    <col min="6" max="6" width="11.453125" customWidth="1"/>
    <col min="7" max="7" width="16.08984375" customWidth="1"/>
    <col min="8" max="8" width="18.36328125" customWidth="1"/>
    <col min="9" max="9" width="14.08984375" customWidth="1"/>
    <col min="10" max="10" width="20.08984375" customWidth="1"/>
    <col min="11" max="11" width="9.36328125" customWidth="1"/>
    <col min="12" max="12" width="16.81640625" customWidth="1"/>
    <col min="13" max="13" width="16.26953125" customWidth="1"/>
    <col min="14" max="14" width="11.453125" customWidth="1"/>
    <col min="15" max="16" width="17.08984375" customWidth="1"/>
    <col min="17" max="19" width="13.1796875" customWidth="1"/>
    <col min="20" max="21" width="11.453125" customWidth="1"/>
    <col min="22" max="22" width="8.08984375" customWidth="1"/>
    <col min="23" max="24" width="11.453125" customWidth="1"/>
    <col min="25" max="26" width="17.26953125" customWidth="1"/>
    <col min="27" max="27" width="11.453125" customWidth="1"/>
    <col min="28" max="28" width="2.453125" customWidth="1"/>
    <col min="29" max="29" width="17.08984375" customWidth="1"/>
    <col min="30" max="30" width="15.453125" customWidth="1"/>
    <col min="31" max="37" width="11.453125" customWidth="1"/>
    <col min="38" max="38" width="3.54296875" customWidth="1"/>
    <col min="39" max="39" width="11.453125" customWidth="1"/>
    <col min="40" max="40" width="17" customWidth="1"/>
    <col min="41" max="41" width="16.36328125" customWidth="1"/>
    <col min="42" max="42" width="11.453125" customWidth="1"/>
    <col min="43" max="43" width="2.81640625" customWidth="1"/>
    <col min="44" max="44" width="13.453125" customWidth="1"/>
    <col min="45" max="47" width="11.453125" customWidth="1"/>
    <col min="48" max="48" width="13.08984375" customWidth="1"/>
    <col min="49" max="49" width="17.90625" customWidth="1"/>
    <col min="50" max="50" width="15" customWidth="1"/>
    <col min="51" max="51" width="15.6328125" customWidth="1"/>
  </cols>
  <sheetData>
    <row r="1" spans="1:51" ht="12" customHeight="1" x14ac:dyDescent="0.35">
      <c r="A1" s="2"/>
      <c r="B1" s="2"/>
      <c r="C1" s="2"/>
      <c r="D1" s="2"/>
      <c r="E1" s="2"/>
      <c r="F1" s="2"/>
      <c r="G1" s="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2" customHeight="1" x14ac:dyDescent="0.35">
      <c r="A2" s="2"/>
      <c r="B2" s="6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2" customHeight="1" x14ac:dyDescent="0.35">
      <c r="A3" s="2"/>
      <c r="B3" s="10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7" t="s">
        <v>0</v>
      </c>
      <c r="AW3" s="7" t="s">
        <v>1</v>
      </c>
      <c r="AX3" s="8" t="s">
        <v>2</v>
      </c>
      <c r="AY3" s="1"/>
    </row>
    <row r="4" spans="1:51" ht="12" customHeight="1" x14ac:dyDescent="0.35">
      <c r="A4" s="2"/>
      <c r="B4" s="2"/>
      <c r="C4" s="2"/>
      <c r="D4" s="2"/>
      <c r="E4" s="41"/>
      <c r="F4" s="16"/>
      <c r="G4" s="2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42" t="s">
        <v>3</v>
      </c>
      <c r="AW4" s="42" t="s">
        <v>3</v>
      </c>
      <c r="AX4" s="43" t="s">
        <v>44</v>
      </c>
      <c r="AY4" s="1"/>
    </row>
    <row r="5" spans="1:51" ht="12" customHeight="1" x14ac:dyDescent="0.35">
      <c r="A5" s="2"/>
      <c r="B5" s="17" t="s">
        <v>5</v>
      </c>
      <c r="C5" s="18"/>
      <c r="D5" s="18"/>
      <c r="E5" s="18"/>
      <c r="F5" s="18"/>
      <c r="G5" s="18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8"/>
      <c r="AF5" s="18"/>
      <c r="AG5" s="1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2" customHeight="1" x14ac:dyDescent="0.35">
      <c r="A6" s="2"/>
      <c r="B6" s="17" t="s">
        <v>45</v>
      </c>
      <c r="C6" s="18"/>
      <c r="D6" s="18"/>
      <c r="E6" s="18"/>
      <c r="F6" s="18"/>
      <c r="G6" s="18"/>
      <c r="H6" s="1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8"/>
      <c r="AF6" s="18"/>
      <c r="AG6" s="18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2" customHeight="1" x14ac:dyDescent="0.35">
      <c r="A7" s="2"/>
      <c r="B7" s="21" t="s">
        <v>7</v>
      </c>
      <c r="C7" s="18"/>
      <c r="D7" s="18"/>
      <c r="E7" s="18"/>
      <c r="F7" s="18"/>
      <c r="G7" s="18"/>
      <c r="H7" s="1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8"/>
      <c r="AF7" s="18"/>
      <c r="AG7" s="18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2" customHeight="1" x14ac:dyDescent="0.35">
      <c r="A8" s="2"/>
      <c r="B8" s="23" t="s">
        <v>8</v>
      </c>
      <c r="C8" s="18"/>
      <c r="D8" s="18"/>
      <c r="E8" s="18"/>
      <c r="F8" s="18"/>
      <c r="G8" s="18"/>
      <c r="H8" s="1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8"/>
      <c r="AF8" s="18"/>
      <c r="AG8" s="18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3.75" customHeight="1" x14ac:dyDescent="0.35">
      <c r="A9" s="2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1"/>
    </row>
    <row r="10" spans="1:51" ht="12" customHeight="1" x14ac:dyDescent="0.35">
      <c r="A10" s="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1"/>
    </row>
    <row r="11" spans="1:51" ht="12" customHeight="1" x14ac:dyDescent="0.35">
      <c r="A11" s="1"/>
      <c r="B11" s="25" t="s">
        <v>9</v>
      </c>
      <c r="C11" s="1"/>
      <c r="D11" s="1"/>
      <c r="E11" s="1"/>
      <c r="F11" s="1"/>
      <c r="G11" s="1"/>
      <c r="H11" s="4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6.75" customHeight="1" x14ac:dyDescent="0.35">
      <c r="A12" s="1"/>
      <c r="B12" s="25"/>
      <c r="C12" s="1"/>
      <c r="D12" s="1"/>
      <c r="E12" s="1"/>
      <c r="F12" s="1"/>
      <c r="G12" s="1"/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2" customHeight="1" x14ac:dyDescent="0.35">
      <c r="A13" s="1"/>
      <c r="B13" s="45" t="s">
        <v>46</v>
      </c>
      <c r="C13" s="1"/>
      <c r="D13" s="1"/>
      <c r="E13" s="1"/>
      <c r="F13" s="1"/>
      <c r="G13" s="1"/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2" customHeight="1" x14ac:dyDescent="0.35">
      <c r="A14" s="1"/>
      <c r="B14" s="1"/>
      <c r="C14" s="1"/>
      <c r="D14" s="1"/>
      <c r="E14" s="1"/>
      <c r="F14" s="1"/>
      <c r="G14" s="1"/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2" customHeight="1" x14ac:dyDescent="0.35">
      <c r="A15" s="1"/>
      <c r="B15" s="25" t="s">
        <v>11</v>
      </c>
      <c r="C15" s="1"/>
      <c r="D15" s="1"/>
      <c r="E15" s="1"/>
      <c r="F15" s="1"/>
      <c r="G15" s="1"/>
      <c r="H15" s="4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6.75" customHeight="1" x14ac:dyDescent="0.35">
      <c r="A16" s="1"/>
      <c r="B16" s="25"/>
      <c r="C16" s="1"/>
      <c r="D16" s="1"/>
      <c r="E16" s="1"/>
      <c r="F16" s="1"/>
      <c r="G16" s="1"/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12" customHeight="1" x14ac:dyDescent="0.35">
      <c r="A17" s="1"/>
      <c r="B17" s="27"/>
      <c r="C17" s="28" t="s">
        <v>12</v>
      </c>
      <c r="D17" s="28" t="s">
        <v>13</v>
      </c>
      <c r="E17" s="1"/>
      <c r="F17" s="1"/>
      <c r="G17" s="1"/>
      <c r="H17" s="4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2" customHeight="1" x14ac:dyDescent="0.35">
      <c r="A18" s="1"/>
      <c r="B18" s="29" t="s">
        <v>14</v>
      </c>
      <c r="C18" s="30" t="s">
        <v>15</v>
      </c>
      <c r="D18" s="30" t="s">
        <v>15</v>
      </c>
      <c r="E18" s="1"/>
      <c r="F18" s="1"/>
      <c r="G18" s="1"/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t="12" customHeight="1" x14ac:dyDescent="0.35">
      <c r="A19" s="1"/>
      <c r="B19" s="29" t="s">
        <v>16</v>
      </c>
      <c r="C19" s="30" t="s">
        <v>15</v>
      </c>
      <c r="D19" s="30" t="s">
        <v>15</v>
      </c>
      <c r="E19" s="1"/>
      <c r="F19" s="1"/>
      <c r="G19" s="1"/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2" customHeight="1" x14ac:dyDescent="0.35">
      <c r="A20" s="1"/>
      <c r="B20" s="29" t="s">
        <v>17</v>
      </c>
      <c r="C20" s="30" t="s">
        <v>15</v>
      </c>
      <c r="D20" s="30" t="s">
        <v>15</v>
      </c>
      <c r="E20" s="1"/>
      <c r="F20" s="1"/>
      <c r="G20" s="1"/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ht="12" customHeight="1" x14ac:dyDescent="0.35">
      <c r="A21" s="1"/>
      <c r="B21" s="1"/>
      <c r="C21" s="1"/>
      <c r="D21" s="1"/>
      <c r="E21" s="1"/>
      <c r="F21" s="1"/>
      <c r="G21" s="1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2" customHeight="1" x14ac:dyDescent="0.35">
      <c r="A22" s="1"/>
      <c r="B22" s="1"/>
      <c r="C22" s="1"/>
      <c r="D22" s="1"/>
      <c r="E22" s="1"/>
      <c r="F22" s="1"/>
      <c r="G22" s="1"/>
      <c r="H22" s="4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t="12" customHeight="1" x14ac:dyDescent="0.35">
      <c r="A23" s="1"/>
      <c r="B23" s="25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6.75" customHeight="1" x14ac:dyDescent="0.35">
      <c r="A24" s="1"/>
      <c r="B24" s="2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2" customHeight="1" x14ac:dyDescent="0.35">
      <c r="A25" s="31" t="s">
        <v>19</v>
      </c>
      <c r="B25" s="1" t="s">
        <v>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2" customHeight="1" x14ac:dyDescent="0.35">
      <c r="A26" s="31" t="s">
        <v>21</v>
      </c>
      <c r="B26" s="1" t="s">
        <v>114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2" customHeight="1" x14ac:dyDescent="0.35">
      <c r="A27" s="31" t="s">
        <v>23</v>
      </c>
      <c r="B27" s="1" t="s">
        <v>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2" customHeight="1" x14ac:dyDescent="0.35">
      <c r="A28" s="31" t="s">
        <v>25</v>
      </c>
      <c r="B28" s="1" t="s">
        <v>98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2" customHeight="1" x14ac:dyDescent="0.35">
      <c r="A29" s="31" t="s">
        <v>95</v>
      </c>
      <c r="B29" s="1" t="s">
        <v>99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2" customHeight="1" x14ac:dyDescent="0.35">
      <c r="A30" s="31" t="s">
        <v>97</v>
      </c>
      <c r="B30" s="1" t="s">
        <v>100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2" customHeight="1" x14ac:dyDescent="0.35">
      <c r="A31" s="31" t="s">
        <v>101</v>
      </c>
      <c r="B31" s="1" t="s">
        <v>48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2" customHeight="1" x14ac:dyDescent="0.35">
      <c r="A32" s="31" t="s">
        <v>102</v>
      </c>
      <c r="B32" s="1" t="s">
        <v>49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2" customHeight="1" x14ac:dyDescent="0.35">
      <c r="A33" s="31" t="s">
        <v>113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2" customHeight="1" x14ac:dyDescent="0.35">
      <c r="A34" s="3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2" customHeight="1" x14ac:dyDescent="0.35">
      <c r="A35" s="1"/>
      <c r="B35" s="25" t="s">
        <v>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2" customHeight="1" x14ac:dyDescent="0.35">
      <c r="A36" s="1"/>
      <c r="B36" s="1"/>
      <c r="C36" s="1"/>
      <c r="D36" s="1"/>
      <c r="E36" s="1"/>
      <c r="F36" s="1"/>
      <c r="G36" s="1"/>
      <c r="H36" s="4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2" customHeight="1" x14ac:dyDescent="0.35">
      <c r="A37" s="1"/>
      <c r="B37" s="1"/>
      <c r="C37" s="1"/>
      <c r="D37" s="1"/>
      <c r="E37" s="1"/>
      <c r="F37" s="1"/>
      <c r="G37" s="1"/>
      <c r="H37" s="4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customHeight="1" x14ac:dyDescent="0.35">
      <c r="A38" s="1"/>
      <c r="B38" s="94" t="s">
        <v>51</v>
      </c>
      <c r="C38" s="95"/>
      <c r="D38" s="95"/>
      <c r="E38" s="95"/>
      <c r="F38" s="95"/>
      <c r="G38" s="95"/>
      <c r="H38" s="95"/>
      <c r="I38" s="95"/>
      <c r="J38" s="95"/>
      <c r="K38" s="1"/>
      <c r="L38" s="119" t="s">
        <v>52</v>
      </c>
      <c r="M38" s="120"/>
      <c r="N38" s="120"/>
      <c r="O38" s="120"/>
      <c r="P38" s="120"/>
      <c r="Q38" s="120"/>
      <c r="R38" s="120"/>
      <c r="S38" s="120"/>
      <c r="T38" s="121" t="s">
        <v>53</v>
      </c>
      <c r="U38" s="121"/>
      <c r="V38" s="121"/>
      <c r="W38" s="121"/>
      <c r="X38" s="104" t="s">
        <v>115</v>
      </c>
      <c r="Y38" s="105"/>
      <c r="Z38" s="105"/>
      <c r="AA38" s="106"/>
      <c r="AB38" s="1"/>
      <c r="AC38" s="110" t="s">
        <v>54</v>
      </c>
      <c r="AD38" s="111"/>
      <c r="AE38" s="111"/>
      <c r="AF38" s="111"/>
      <c r="AG38" s="111"/>
      <c r="AH38" s="111"/>
      <c r="AI38" s="111"/>
      <c r="AJ38" s="111"/>
      <c r="AK38" s="112"/>
      <c r="AL38" s="79"/>
      <c r="AM38" s="98" t="s">
        <v>106</v>
      </c>
      <c r="AN38" s="99"/>
      <c r="AO38" s="99"/>
      <c r="AP38" s="100"/>
      <c r="AQ38" s="37"/>
      <c r="AR38" s="110" t="s">
        <v>55</v>
      </c>
      <c r="AS38" s="111"/>
      <c r="AT38" s="111"/>
      <c r="AU38" s="111"/>
      <c r="AV38" s="111"/>
      <c r="AW38" s="111"/>
      <c r="AX38" s="112"/>
      <c r="AY38" s="1"/>
    </row>
    <row r="39" spans="1:51" ht="12" customHeight="1" x14ac:dyDescent="0.35">
      <c r="A39" s="46"/>
      <c r="B39" s="96" t="s">
        <v>56</v>
      </c>
      <c r="C39" s="97"/>
      <c r="D39" s="97"/>
      <c r="E39" s="97"/>
      <c r="F39" s="97"/>
      <c r="G39" s="97"/>
      <c r="H39" s="97"/>
      <c r="I39" s="97"/>
      <c r="J39" s="97"/>
      <c r="K39" s="46"/>
      <c r="L39" s="116" t="s">
        <v>57</v>
      </c>
      <c r="M39" s="111"/>
      <c r="N39" s="111"/>
      <c r="O39" s="111"/>
      <c r="P39" s="117"/>
      <c r="Q39" s="117"/>
      <c r="R39" s="117"/>
      <c r="S39" s="117"/>
      <c r="T39" s="111"/>
      <c r="U39" s="111"/>
      <c r="V39" s="111"/>
      <c r="W39" s="117"/>
      <c r="X39" s="107"/>
      <c r="Y39" s="108"/>
      <c r="Z39" s="108"/>
      <c r="AA39" s="109"/>
      <c r="AB39" s="46"/>
      <c r="AC39" s="118" t="s">
        <v>58</v>
      </c>
      <c r="AD39" s="111"/>
      <c r="AE39" s="111"/>
      <c r="AF39" s="111"/>
      <c r="AG39" s="111"/>
      <c r="AH39" s="112"/>
      <c r="AI39" s="113" t="s">
        <v>59</v>
      </c>
      <c r="AJ39" s="111"/>
      <c r="AK39" s="112"/>
      <c r="AL39" s="79"/>
      <c r="AM39" s="101"/>
      <c r="AN39" s="102"/>
      <c r="AO39" s="102"/>
      <c r="AP39" s="103"/>
      <c r="AQ39" s="47"/>
      <c r="AR39" s="114" t="s">
        <v>60</v>
      </c>
      <c r="AS39" s="111"/>
      <c r="AT39" s="111"/>
      <c r="AU39" s="111"/>
      <c r="AV39" s="111"/>
      <c r="AW39" s="111"/>
      <c r="AX39" s="115"/>
      <c r="AY39" s="76"/>
    </row>
    <row r="40" spans="1:51" ht="35.5" customHeight="1" x14ac:dyDescent="0.35">
      <c r="A40" s="46"/>
      <c r="B40" s="48" t="s">
        <v>61</v>
      </c>
      <c r="C40" s="49" t="s">
        <v>62</v>
      </c>
      <c r="D40" s="50" t="s">
        <v>63</v>
      </c>
      <c r="E40" s="50" t="s">
        <v>64</v>
      </c>
      <c r="F40" s="48" t="s">
        <v>65</v>
      </c>
      <c r="G40" s="49" t="s">
        <v>66</v>
      </c>
      <c r="H40" s="86" t="s">
        <v>67</v>
      </c>
      <c r="I40" s="88" t="s">
        <v>68</v>
      </c>
      <c r="J40" s="88" t="s">
        <v>111</v>
      </c>
      <c r="K40" s="46"/>
      <c r="L40" s="51" t="s">
        <v>62</v>
      </c>
      <c r="M40" s="49" t="s">
        <v>69</v>
      </c>
      <c r="N40" s="52" t="s">
        <v>70</v>
      </c>
      <c r="O40" s="51" t="s">
        <v>63</v>
      </c>
      <c r="P40" s="51" t="s">
        <v>91</v>
      </c>
      <c r="Q40" s="51" t="s">
        <v>92</v>
      </c>
      <c r="R40" s="51" t="s">
        <v>110</v>
      </c>
      <c r="S40" s="51" t="s">
        <v>93</v>
      </c>
      <c r="T40" s="53" t="s">
        <v>71</v>
      </c>
      <c r="U40" s="53" t="s">
        <v>72</v>
      </c>
      <c r="V40" s="53" t="s">
        <v>67</v>
      </c>
      <c r="W40" s="54" t="s">
        <v>68</v>
      </c>
      <c r="X40" s="91" t="s">
        <v>73</v>
      </c>
      <c r="Y40" s="91" t="s">
        <v>103</v>
      </c>
      <c r="Z40" s="91" t="s">
        <v>105</v>
      </c>
      <c r="AA40" s="91" t="s">
        <v>73</v>
      </c>
      <c r="AB40" s="46"/>
      <c r="AC40" s="52" t="s">
        <v>80</v>
      </c>
      <c r="AD40" s="52" t="s">
        <v>70</v>
      </c>
      <c r="AE40" s="55" t="s">
        <v>74</v>
      </c>
      <c r="AF40" s="53" t="s">
        <v>75</v>
      </c>
      <c r="AG40" s="56" t="s">
        <v>76</v>
      </c>
      <c r="AH40" s="53" t="s">
        <v>77</v>
      </c>
      <c r="AI40" s="53" t="s">
        <v>68</v>
      </c>
      <c r="AJ40" s="53" t="s">
        <v>78</v>
      </c>
      <c r="AK40" s="49" t="s">
        <v>79</v>
      </c>
      <c r="AL40" s="83"/>
      <c r="AM40" s="84" t="s">
        <v>92</v>
      </c>
      <c r="AN40" s="84" t="s">
        <v>109</v>
      </c>
      <c r="AO40" s="84" t="s">
        <v>107</v>
      </c>
      <c r="AP40" s="84" t="s">
        <v>108</v>
      </c>
      <c r="AQ40" s="9"/>
      <c r="AR40" s="51" t="s">
        <v>80</v>
      </c>
      <c r="AS40" s="51" t="s">
        <v>81</v>
      </c>
      <c r="AT40" s="52" t="s">
        <v>116</v>
      </c>
      <c r="AU40" s="52" t="s">
        <v>61</v>
      </c>
      <c r="AV40" s="53" t="s">
        <v>90</v>
      </c>
      <c r="AW40" s="74" t="s">
        <v>82</v>
      </c>
      <c r="AX40" s="77" t="s">
        <v>73</v>
      </c>
    </row>
    <row r="41" spans="1:51" ht="12" customHeight="1" x14ac:dyDescent="0.35">
      <c r="A41" s="1"/>
      <c r="B41" s="57"/>
      <c r="C41" s="58"/>
      <c r="D41" s="59"/>
      <c r="E41" s="59"/>
      <c r="F41" s="58"/>
      <c r="G41" s="58"/>
      <c r="H41" s="87"/>
      <c r="I41" s="78"/>
      <c r="J41" s="78"/>
      <c r="K41" s="1"/>
      <c r="L41" s="57"/>
      <c r="M41" s="61"/>
      <c r="N41" s="59"/>
      <c r="O41" s="61"/>
      <c r="P41" s="61"/>
      <c r="Q41" s="61"/>
      <c r="R41" s="61"/>
      <c r="S41" s="61"/>
      <c r="T41" s="61"/>
      <c r="U41" s="60"/>
      <c r="V41" s="60">
        <f t="shared" ref="V41:V49" si="0">+U41*12%</f>
        <v>0</v>
      </c>
      <c r="W41" s="60">
        <f t="shared" ref="W41:W49" si="1">+SUM(T41:V41)</f>
        <v>0</v>
      </c>
      <c r="X41" s="82">
        <f t="shared" ref="X41:X49" si="2">+G41-T41-U41</f>
        <v>0</v>
      </c>
      <c r="Y41" s="92" t="s">
        <v>104</v>
      </c>
      <c r="Z41" s="90" t="e">
        <f>+Y41*Q41</f>
        <v>#VALUE!</v>
      </c>
      <c r="AA41" s="90" t="e">
        <f>+T41+U41-Z41</f>
        <v>#VALUE!</v>
      </c>
      <c r="AB41" s="1"/>
      <c r="AC41" s="61"/>
      <c r="AD41" s="59"/>
      <c r="AE41" s="62"/>
      <c r="AF41" s="60">
        <f>+AE41*(U41+T41)</f>
        <v>0</v>
      </c>
      <c r="AG41" s="63"/>
      <c r="AH41" s="60">
        <f>+AG41*V41</f>
        <v>0</v>
      </c>
      <c r="AI41" s="60"/>
      <c r="AJ41" s="60">
        <f>+AF41+AH41-AI41</f>
        <v>0</v>
      </c>
      <c r="AK41" s="60">
        <f>+AD41-N41</f>
        <v>0</v>
      </c>
      <c r="AL41" s="80"/>
      <c r="AM41" s="85">
        <v>0</v>
      </c>
      <c r="AN41" s="85">
        <v>0</v>
      </c>
      <c r="AO41" s="85">
        <f>+Q41-AM41</f>
        <v>0</v>
      </c>
      <c r="AP41" s="85">
        <f>J41-AN41</f>
        <v>0</v>
      </c>
      <c r="AQ41" s="1"/>
      <c r="AR41" s="61"/>
      <c r="AS41" s="61"/>
      <c r="AT41" s="59"/>
      <c r="AU41" s="59"/>
      <c r="AV41" s="61"/>
      <c r="AW41" s="75">
        <f t="shared" ref="AW41:AW49" si="3">+W41-AF41-AH41</f>
        <v>0</v>
      </c>
      <c r="AX41" s="78">
        <f>+AV41-AW41</f>
        <v>0</v>
      </c>
    </row>
    <row r="42" spans="1:51" ht="12" customHeight="1" x14ac:dyDescent="0.35">
      <c r="A42" s="1"/>
      <c r="B42" s="57"/>
      <c r="C42" s="58"/>
      <c r="D42" s="59"/>
      <c r="E42" s="59"/>
      <c r="F42" s="58"/>
      <c r="G42" s="58"/>
      <c r="H42" s="87"/>
      <c r="I42" s="78"/>
      <c r="J42" s="78"/>
      <c r="K42" s="1"/>
      <c r="L42" s="57"/>
      <c r="M42" s="61"/>
      <c r="N42" s="59"/>
      <c r="O42" s="61"/>
      <c r="P42" s="61"/>
      <c r="Q42" s="61"/>
      <c r="R42" s="61"/>
      <c r="S42" s="61"/>
      <c r="T42" s="61"/>
      <c r="U42" s="60"/>
      <c r="V42" s="60">
        <f t="shared" si="0"/>
        <v>0</v>
      </c>
      <c r="W42" s="60">
        <f t="shared" si="1"/>
        <v>0</v>
      </c>
      <c r="X42" s="82">
        <f t="shared" si="2"/>
        <v>0</v>
      </c>
      <c r="Y42" s="78"/>
      <c r="Z42" s="78">
        <f t="shared" ref="Z42:Z49" si="4">+Y42*Q42</f>
        <v>0</v>
      </c>
      <c r="AA42" s="78">
        <f t="shared" ref="AA42:AA49" si="5">+T42+U42-Z42</f>
        <v>0</v>
      </c>
      <c r="AB42" s="34"/>
      <c r="AC42" s="61"/>
      <c r="AD42" s="59"/>
      <c r="AE42" s="62"/>
      <c r="AF42" s="60">
        <f t="shared" ref="AF42:AF49" si="6">+AE42*(U42+T42)</f>
        <v>0</v>
      </c>
      <c r="AG42" s="63"/>
      <c r="AH42" s="60">
        <f t="shared" ref="AH42:AH49" si="7">+AG42*V42</f>
        <v>0</v>
      </c>
      <c r="AI42" s="60"/>
      <c r="AJ42" s="60">
        <f t="shared" ref="AJ42:AJ49" si="8">+AF42+AH42-AI42</f>
        <v>0</v>
      </c>
      <c r="AK42" s="60">
        <f t="shared" ref="AK42:AK49" si="9">+AD42-N42</f>
        <v>0</v>
      </c>
      <c r="AL42" s="80"/>
      <c r="AM42" s="85">
        <v>0</v>
      </c>
      <c r="AN42" s="85">
        <v>0</v>
      </c>
      <c r="AO42" s="85">
        <f>+Q42-AM42</f>
        <v>0</v>
      </c>
      <c r="AP42" s="85">
        <f t="shared" ref="AP42:AP49" si="10">J42-AN42</f>
        <v>0</v>
      </c>
      <c r="AQ42" s="1"/>
      <c r="AR42" s="61"/>
      <c r="AS42" s="61"/>
      <c r="AT42" s="59"/>
      <c r="AU42" s="59"/>
      <c r="AV42" s="64"/>
      <c r="AW42" s="75">
        <f t="shared" si="3"/>
        <v>0</v>
      </c>
      <c r="AX42" s="78">
        <f t="shared" ref="AX42:AX49" si="11">+AV42-AW42</f>
        <v>0</v>
      </c>
    </row>
    <row r="43" spans="1:51" ht="12" customHeight="1" x14ac:dyDescent="0.35">
      <c r="A43" s="1"/>
      <c r="B43" s="65" t="s">
        <v>83</v>
      </c>
      <c r="C43" s="58"/>
      <c r="D43" s="59"/>
      <c r="E43" s="59"/>
      <c r="F43" s="58"/>
      <c r="G43" s="58"/>
      <c r="H43" s="87"/>
      <c r="I43" s="78"/>
      <c r="J43" s="78"/>
      <c r="K43" s="1"/>
      <c r="L43" s="61"/>
      <c r="M43" s="61"/>
      <c r="N43" s="61"/>
      <c r="O43" s="61"/>
      <c r="P43" s="61"/>
      <c r="Q43" s="61"/>
      <c r="R43" s="61"/>
      <c r="S43" s="61"/>
      <c r="T43" s="61"/>
      <c r="U43" s="60"/>
      <c r="V43" s="60">
        <f t="shared" si="0"/>
        <v>0</v>
      </c>
      <c r="W43" s="60">
        <f t="shared" si="1"/>
        <v>0</v>
      </c>
      <c r="X43" s="82">
        <f t="shared" si="2"/>
        <v>0</v>
      </c>
      <c r="Y43" s="78"/>
      <c r="Z43" s="78">
        <f t="shared" si="4"/>
        <v>0</v>
      </c>
      <c r="AA43" s="78">
        <f t="shared" si="5"/>
        <v>0</v>
      </c>
      <c r="AB43" s="34"/>
      <c r="AC43" s="61"/>
      <c r="AD43" s="59"/>
      <c r="AE43" s="62"/>
      <c r="AF43" s="60">
        <f t="shared" si="6"/>
        <v>0</v>
      </c>
      <c r="AG43" s="63"/>
      <c r="AH43" s="60">
        <f t="shared" si="7"/>
        <v>0</v>
      </c>
      <c r="AI43" s="60"/>
      <c r="AJ43" s="60">
        <f t="shared" si="8"/>
        <v>0</v>
      </c>
      <c r="AK43" s="60">
        <f t="shared" si="9"/>
        <v>0</v>
      </c>
      <c r="AL43" s="80"/>
      <c r="AM43" s="85">
        <v>0</v>
      </c>
      <c r="AN43" s="85">
        <v>0</v>
      </c>
      <c r="AO43" s="85">
        <f t="shared" ref="AO43:AO49" si="12">+Q43-AM43</f>
        <v>0</v>
      </c>
      <c r="AP43" s="85">
        <f>J43-AN43</f>
        <v>0</v>
      </c>
      <c r="AQ43" s="1"/>
      <c r="AR43" s="61"/>
      <c r="AS43" s="61"/>
      <c r="AT43" s="59"/>
      <c r="AU43" s="59"/>
      <c r="AV43" s="64"/>
      <c r="AW43" s="75">
        <f t="shared" si="3"/>
        <v>0</v>
      </c>
      <c r="AX43" s="78">
        <f t="shared" si="11"/>
        <v>0</v>
      </c>
    </row>
    <row r="44" spans="1:51" ht="12" customHeight="1" x14ac:dyDescent="0.35">
      <c r="A44" s="1"/>
      <c r="B44" s="65" t="s">
        <v>84</v>
      </c>
      <c r="C44" s="58"/>
      <c r="D44" s="59"/>
      <c r="E44" s="59"/>
      <c r="F44" s="58"/>
      <c r="G44" s="58"/>
      <c r="H44" s="87"/>
      <c r="I44" s="78"/>
      <c r="J44" s="78"/>
      <c r="K44" s="1"/>
      <c r="L44" s="61"/>
      <c r="M44" s="61"/>
      <c r="N44" s="61"/>
      <c r="O44" s="61"/>
      <c r="P44" s="61"/>
      <c r="Q44" s="61"/>
      <c r="R44" s="61"/>
      <c r="S44" s="61"/>
      <c r="T44" s="61"/>
      <c r="U44" s="60"/>
      <c r="V44" s="60">
        <f t="shared" si="0"/>
        <v>0</v>
      </c>
      <c r="W44" s="60">
        <f t="shared" si="1"/>
        <v>0</v>
      </c>
      <c r="X44" s="82">
        <f t="shared" si="2"/>
        <v>0</v>
      </c>
      <c r="Y44" s="78"/>
      <c r="Z44" s="78">
        <f t="shared" si="4"/>
        <v>0</v>
      </c>
      <c r="AA44" s="78">
        <f t="shared" si="5"/>
        <v>0</v>
      </c>
      <c r="AB44" s="34"/>
      <c r="AC44" s="61"/>
      <c r="AD44" s="59"/>
      <c r="AE44" s="62"/>
      <c r="AF44" s="60">
        <f t="shared" si="6"/>
        <v>0</v>
      </c>
      <c r="AG44" s="63"/>
      <c r="AH44" s="60">
        <f t="shared" si="7"/>
        <v>0</v>
      </c>
      <c r="AI44" s="60"/>
      <c r="AJ44" s="60">
        <f t="shared" si="8"/>
        <v>0</v>
      </c>
      <c r="AK44" s="60">
        <f t="shared" si="9"/>
        <v>0</v>
      </c>
      <c r="AL44" s="80"/>
      <c r="AM44" s="85">
        <v>0</v>
      </c>
      <c r="AN44" s="85">
        <v>0</v>
      </c>
      <c r="AO44" s="85">
        <f t="shared" si="12"/>
        <v>0</v>
      </c>
      <c r="AP44" s="85">
        <f t="shared" si="10"/>
        <v>0</v>
      </c>
      <c r="AQ44" s="1"/>
      <c r="AR44" s="61"/>
      <c r="AS44" s="61"/>
      <c r="AT44" s="59"/>
      <c r="AU44" s="59"/>
      <c r="AV44" s="64"/>
      <c r="AW44" s="75">
        <f t="shared" si="3"/>
        <v>0</v>
      </c>
      <c r="AX44" s="78">
        <f t="shared" si="11"/>
        <v>0</v>
      </c>
    </row>
    <row r="45" spans="1:51" ht="12" customHeight="1" x14ac:dyDescent="0.35">
      <c r="A45" s="1"/>
      <c r="B45" s="57"/>
      <c r="C45" s="58"/>
      <c r="D45" s="59"/>
      <c r="E45" s="59"/>
      <c r="F45" s="58"/>
      <c r="G45" s="58"/>
      <c r="H45" s="87"/>
      <c r="I45" s="78"/>
      <c r="J45" s="78"/>
      <c r="K45" s="1"/>
      <c r="L45" s="61"/>
      <c r="M45" s="61"/>
      <c r="N45" s="61"/>
      <c r="O45" s="61"/>
      <c r="P45" s="61"/>
      <c r="Q45" s="61"/>
      <c r="R45" s="61"/>
      <c r="S45" s="61"/>
      <c r="T45" s="61"/>
      <c r="U45" s="60"/>
      <c r="V45" s="60">
        <f t="shared" si="0"/>
        <v>0</v>
      </c>
      <c r="W45" s="60">
        <f t="shared" si="1"/>
        <v>0</v>
      </c>
      <c r="X45" s="82">
        <f t="shared" si="2"/>
        <v>0</v>
      </c>
      <c r="Y45" s="78"/>
      <c r="Z45" s="78">
        <f t="shared" si="4"/>
        <v>0</v>
      </c>
      <c r="AA45" s="78">
        <f t="shared" si="5"/>
        <v>0</v>
      </c>
      <c r="AB45" s="34"/>
      <c r="AC45" s="61"/>
      <c r="AD45" s="59"/>
      <c r="AE45" s="62"/>
      <c r="AF45" s="60">
        <f t="shared" si="6"/>
        <v>0</v>
      </c>
      <c r="AG45" s="63"/>
      <c r="AH45" s="60">
        <f t="shared" si="7"/>
        <v>0</v>
      </c>
      <c r="AI45" s="60"/>
      <c r="AJ45" s="60">
        <f t="shared" si="8"/>
        <v>0</v>
      </c>
      <c r="AK45" s="60">
        <f t="shared" si="9"/>
        <v>0</v>
      </c>
      <c r="AL45" s="80"/>
      <c r="AM45" s="85">
        <v>0</v>
      </c>
      <c r="AN45" s="85">
        <v>0</v>
      </c>
      <c r="AO45" s="85">
        <f t="shared" si="12"/>
        <v>0</v>
      </c>
      <c r="AP45" s="85">
        <f t="shared" si="10"/>
        <v>0</v>
      </c>
      <c r="AQ45" s="1"/>
      <c r="AR45" s="61"/>
      <c r="AS45" s="61"/>
      <c r="AT45" s="59"/>
      <c r="AU45" s="59"/>
      <c r="AV45" s="64"/>
      <c r="AW45" s="75">
        <f t="shared" si="3"/>
        <v>0</v>
      </c>
      <c r="AX45" s="78">
        <f t="shared" si="11"/>
        <v>0</v>
      </c>
    </row>
    <row r="46" spans="1:51" ht="12" customHeight="1" x14ac:dyDescent="0.35">
      <c r="A46" s="1"/>
      <c r="B46" s="57"/>
      <c r="C46" s="58"/>
      <c r="D46" s="59"/>
      <c r="E46" s="59"/>
      <c r="F46" s="58"/>
      <c r="G46" s="58"/>
      <c r="H46" s="87"/>
      <c r="I46" s="78"/>
      <c r="J46" s="78"/>
      <c r="K46" s="1"/>
      <c r="L46" s="61"/>
      <c r="M46" s="61"/>
      <c r="N46" s="61"/>
      <c r="O46" s="61"/>
      <c r="P46" s="61"/>
      <c r="Q46" s="61"/>
      <c r="R46" s="61"/>
      <c r="S46" s="61"/>
      <c r="T46" s="61"/>
      <c r="U46" s="60"/>
      <c r="V46" s="60">
        <f t="shared" si="0"/>
        <v>0</v>
      </c>
      <c r="W46" s="60">
        <f t="shared" si="1"/>
        <v>0</v>
      </c>
      <c r="X46" s="82">
        <f t="shared" si="2"/>
        <v>0</v>
      </c>
      <c r="Y46" s="78"/>
      <c r="Z46" s="78">
        <f t="shared" si="4"/>
        <v>0</v>
      </c>
      <c r="AA46" s="78">
        <f t="shared" si="5"/>
        <v>0</v>
      </c>
      <c r="AB46" s="34"/>
      <c r="AC46" s="61"/>
      <c r="AD46" s="59"/>
      <c r="AE46" s="62"/>
      <c r="AF46" s="60">
        <f t="shared" si="6"/>
        <v>0</v>
      </c>
      <c r="AG46" s="63"/>
      <c r="AH46" s="60">
        <f t="shared" si="7"/>
        <v>0</v>
      </c>
      <c r="AI46" s="60"/>
      <c r="AJ46" s="60">
        <f t="shared" si="8"/>
        <v>0</v>
      </c>
      <c r="AK46" s="60">
        <f t="shared" si="9"/>
        <v>0</v>
      </c>
      <c r="AL46" s="80"/>
      <c r="AM46" s="85">
        <v>0</v>
      </c>
      <c r="AN46" s="85">
        <v>0</v>
      </c>
      <c r="AO46" s="85">
        <f t="shared" si="12"/>
        <v>0</v>
      </c>
      <c r="AP46" s="85">
        <f t="shared" si="10"/>
        <v>0</v>
      </c>
      <c r="AQ46" s="1"/>
      <c r="AR46" s="61"/>
      <c r="AS46" s="61"/>
      <c r="AT46" s="59"/>
      <c r="AU46" s="59"/>
      <c r="AV46" s="64"/>
      <c r="AW46" s="75">
        <f t="shared" si="3"/>
        <v>0</v>
      </c>
      <c r="AX46" s="78">
        <f t="shared" si="11"/>
        <v>0</v>
      </c>
    </row>
    <row r="47" spans="1:51" ht="12" customHeight="1" x14ac:dyDescent="0.35">
      <c r="A47" s="1"/>
      <c r="B47" s="57"/>
      <c r="C47" s="58"/>
      <c r="D47" s="59"/>
      <c r="E47" s="59"/>
      <c r="F47" s="58"/>
      <c r="G47" s="58"/>
      <c r="H47" s="87"/>
      <c r="I47" s="78"/>
      <c r="J47" s="78"/>
      <c r="K47" s="1"/>
      <c r="L47" s="61"/>
      <c r="M47" s="61"/>
      <c r="N47" s="61"/>
      <c r="O47" s="61"/>
      <c r="P47" s="61"/>
      <c r="Q47" s="61"/>
      <c r="R47" s="61"/>
      <c r="S47" s="61"/>
      <c r="T47" s="61"/>
      <c r="U47" s="60"/>
      <c r="V47" s="60">
        <f t="shared" si="0"/>
        <v>0</v>
      </c>
      <c r="W47" s="60">
        <f t="shared" si="1"/>
        <v>0</v>
      </c>
      <c r="X47" s="82">
        <f t="shared" si="2"/>
        <v>0</v>
      </c>
      <c r="Y47" s="78"/>
      <c r="Z47" s="78">
        <f t="shared" si="4"/>
        <v>0</v>
      </c>
      <c r="AA47" s="78">
        <f t="shared" si="5"/>
        <v>0</v>
      </c>
      <c r="AB47" s="34"/>
      <c r="AC47" s="61"/>
      <c r="AD47" s="59"/>
      <c r="AE47" s="62"/>
      <c r="AF47" s="60">
        <f t="shared" si="6"/>
        <v>0</v>
      </c>
      <c r="AG47" s="63"/>
      <c r="AH47" s="60">
        <f t="shared" si="7"/>
        <v>0</v>
      </c>
      <c r="AI47" s="60"/>
      <c r="AJ47" s="60">
        <f t="shared" si="8"/>
        <v>0</v>
      </c>
      <c r="AK47" s="60">
        <f t="shared" si="9"/>
        <v>0</v>
      </c>
      <c r="AL47" s="80"/>
      <c r="AM47" s="85">
        <v>0</v>
      </c>
      <c r="AN47" s="85">
        <v>0</v>
      </c>
      <c r="AO47" s="85">
        <f t="shared" si="12"/>
        <v>0</v>
      </c>
      <c r="AP47" s="85">
        <f t="shared" si="10"/>
        <v>0</v>
      </c>
      <c r="AQ47" s="1"/>
      <c r="AR47" s="61"/>
      <c r="AS47" s="61"/>
      <c r="AT47" s="59"/>
      <c r="AU47" s="59"/>
      <c r="AV47" s="64"/>
      <c r="AW47" s="75">
        <f t="shared" si="3"/>
        <v>0</v>
      </c>
      <c r="AX47" s="78">
        <f t="shared" si="11"/>
        <v>0</v>
      </c>
    </row>
    <row r="48" spans="1:51" ht="12" customHeight="1" x14ac:dyDescent="0.35">
      <c r="A48" s="1"/>
      <c r="B48" s="57"/>
      <c r="C48" s="58"/>
      <c r="D48" s="59"/>
      <c r="E48" s="59"/>
      <c r="F48" s="58"/>
      <c r="G48" s="58"/>
      <c r="H48" s="87"/>
      <c r="I48" s="78"/>
      <c r="J48" s="78"/>
      <c r="K48" s="1"/>
      <c r="L48" s="61"/>
      <c r="M48" s="61"/>
      <c r="N48" s="61"/>
      <c r="O48" s="61"/>
      <c r="P48" s="61"/>
      <c r="Q48" s="61"/>
      <c r="R48" s="61"/>
      <c r="S48" s="61"/>
      <c r="T48" s="61"/>
      <c r="U48" s="60"/>
      <c r="V48" s="60">
        <f t="shared" si="0"/>
        <v>0</v>
      </c>
      <c r="W48" s="60">
        <f t="shared" si="1"/>
        <v>0</v>
      </c>
      <c r="X48" s="82">
        <f t="shared" si="2"/>
        <v>0</v>
      </c>
      <c r="Y48" s="78"/>
      <c r="Z48" s="78">
        <f t="shared" si="4"/>
        <v>0</v>
      </c>
      <c r="AA48" s="78">
        <f t="shared" si="5"/>
        <v>0</v>
      </c>
      <c r="AB48" s="34"/>
      <c r="AC48" s="61"/>
      <c r="AD48" s="59"/>
      <c r="AE48" s="62"/>
      <c r="AF48" s="60">
        <f t="shared" si="6"/>
        <v>0</v>
      </c>
      <c r="AG48" s="63"/>
      <c r="AH48" s="60">
        <f t="shared" si="7"/>
        <v>0</v>
      </c>
      <c r="AI48" s="60"/>
      <c r="AJ48" s="60">
        <f t="shared" si="8"/>
        <v>0</v>
      </c>
      <c r="AK48" s="60">
        <f t="shared" si="9"/>
        <v>0</v>
      </c>
      <c r="AL48" s="80"/>
      <c r="AM48" s="85">
        <v>0</v>
      </c>
      <c r="AN48" s="85">
        <v>0</v>
      </c>
      <c r="AO48" s="85">
        <f t="shared" si="12"/>
        <v>0</v>
      </c>
      <c r="AP48" s="85">
        <f t="shared" si="10"/>
        <v>0</v>
      </c>
      <c r="AQ48" s="1"/>
      <c r="AR48" s="61"/>
      <c r="AS48" s="61"/>
      <c r="AT48" s="59"/>
      <c r="AU48" s="59"/>
      <c r="AV48" s="64"/>
      <c r="AW48" s="75">
        <f t="shared" si="3"/>
        <v>0</v>
      </c>
      <c r="AX48" s="78">
        <f t="shared" si="11"/>
        <v>0</v>
      </c>
    </row>
    <row r="49" spans="1:51" ht="12" customHeight="1" x14ac:dyDescent="0.35">
      <c r="A49" s="1"/>
      <c r="B49" s="57"/>
      <c r="C49" s="58"/>
      <c r="D49" s="59"/>
      <c r="E49" s="59"/>
      <c r="F49" s="58"/>
      <c r="G49" s="58"/>
      <c r="H49" s="87"/>
      <c r="I49" s="78"/>
      <c r="J49" s="78"/>
      <c r="K49" s="1"/>
      <c r="L49" s="61"/>
      <c r="M49" s="61"/>
      <c r="N49" s="61"/>
      <c r="O49" s="61"/>
      <c r="P49" s="61"/>
      <c r="Q49" s="61"/>
      <c r="R49" s="61"/>
      <c r="S49" s="61"/>
      <c r="T49" s="61"/>
      <c r="U49" s="60"/>
      <c r="V49" s="60">
        <f t="shared" si="0"/>
        <v>0</v>
      </c>
      <c r="W49" s="60">
        <f t="shared" si="1"/>
        <v>0</v>
      </c>
      <c r="X49" s="82">
        <f t="shared" si="2"/>
        <v>0</v>
      </c>
      <c r="Y49" s="78"/>
      <c r="Z49" s="78">
        <f t="shared" si="4"/>
        <v>0</v>
      </c>
      <c r="AA49" s="78">
        <f t="shared" si="5"/>
        <v>0</v>
      </c>
      <c r="AB49" s="34"/>
      <c r="AC49" s="61"/>
      <c r="AD49" s="59"/>
      <c r="AE49" s="62"/>
      <c r="AF49" s="60">
        <f t="shared" si="6"/>
        <v>0</v>
      </c>
      <c r="AG49" s="63"/>
      <c r="AH49" s="60">
        <f t="shared" si="7"/>
        <v>0</v>
      </c>
      <c r="AI49" s="60"/>
      <c r="AJ49" s="60">
        <f t="shared" si="8"/>
        <v>0</v>
      </c>
      <c r="AK49" s="60">
        <f t="shared" si="9"/>
        <v>0</v>
      </c>
      <c r="AL49" s="80"/>
      <c r="AM49" s="85">
        <v>0</v>
      </c>
      <c r="AN49" s="85">
        <v>0</v>
      </c>
      <c r="AO49" s="85">
        <f t="shared" si="12"/>
        <v>0</v>
      </c>
      <c r="AP49" s="85">
        <f t="shared" si="10"/>
        <v>0</v>
      </c>
      <c r="AQ49" s="1"/>
      <c r="AR49" s="61"/>
      <c r="AS49" s="61"/>
      <c r="AT49" s="59"/>
      <c r="AU49" s="59"/>
      <c r="AV49" s="64"/>
      <c r="AW49" s="75">
        <f t="shared" si="3"/>
        <v>0</v>
      </c>
      <c r="AX49" s="78">
        <f t="shared" si="11"/>
        <v>0</v>
      </c>
    </row>
    <row r="50" spans="1:51" ht="7" customHeight="1" x14ac:dyDescent="0.35">
      <c r="A50" s="1"/>
      <c r="B50" s="66"/>
      <c r="C50" s="67"/>
      <c r="D50" s="44"/>
      <c r="E50" s="44"/>
      <c r="F50" s="67"/>
      <c r="G50" s="67"/>
      <c r="H50" s="66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5"/>
      <c r="V50" s="5"/>
      <c r="W50" s="5"/>
      <c r="X50" s="5"/>
      <c r="Y50" s="5"/>
      <c r="Z50" s="5"/>
      <c r="AA50" s="5"/>
      <c r="AB50" s="34"/>
      <c r="AC50" s="1"/>
      <c r="AD50" s="44"/>
      <c r="AE50" s="68"/>
      <c r="AF50" s="5"/>
      <c r="AG50" s="69"/>
      <c r="AH50" s="5"/>
      <c r="AI50" s="5"/>
      <c r="AJ50" s="5"/>
      <c r="AK50" s="5"/>
      <c r="AL50" s="5"/>
      <c r="AM50" s="5"/>
      <c r="AN50" s="5"/>
      <c r="AO50" s="5"/>
      <c r="AP50" s="5"/>
      <c r="AQ50" s="1"/>
      <c r="AR50" s="1"/>
      <c r="AS50" s="1"/>
      <c r="AT50" s="44"/>
      <c r="AU50" s="44"/>
      <c r="AV50" s="4"/>
      <c r="AW50" s="5"/>
      <c r="AX50" s="5"/>
    </row>
    <row r="51" spans="1:51" ht="12" customHeight="1" thickBot="1" x14ac:dyDescent="0.4">
      <c r="A51" s="1"/>
      <c r="B51" s="66"/>
      <c r="C51" s="67"/>
      <c r="D51" s="44"/>
      <c r="E51" s="44"/>
      <c r="F51" s="67"/>
      <c r="G51" s="67"/>
      <c r="H51" s="66"/>
      <c r="I51" s="70">
        <f>+SUM(I41:I49)</f>
        <v>0</v>
      </c>
      <c r="J51" s="70">
        <f>+SUM(J41:J49)</f>
        <v>0</v>
      </c>
      <c r="K51" s="1"/>
      <c r="L51" s="66"/>
      <c r="M51" s="1"/>
      <c r="N51" s="44"/>
      <c r="O51" s="1"/>
      <c r="P51" s="1"/>
      <c r="Q51" s="1"/>
      <c r="R51" s="1"/>
      <c r="S51" s="1"/>
      <c r="T51" s="1"/>
      <c r="U51" s="5"/>
      <c r="V51" s="5"/>
      <c r="W51" s="5"/>
      <c r="X51" s="93">
        <f>+SUM(X41:X49)</f>
        <v>0</v>
      </c>
      <c r="Y51" s="5"/>
      <c r="Z51" s="5"/>
      <c r="AA51" s="93" t="e">
        <f>+SUM(AA41:AA49)</f>
        <v>#VALUE!</v>
      </c>
      <c r="AB51" s="34"/>
      <c r="AC51" s="1"/>
      <c r="AD51" s="44"/>
      <c r="AE51" s="68"/>
      <c r="AF51" s="5"/>
      <c r="AG51" s="69"/>
      <c r="AH51" s="5"/>
      <c r="AI51" s="5"/>
      <c r="AJ51" s="93">
        <f>+SUM(AJ41:AJ49)</f>
        <v>0</v>
      </c>
      <c r="AK51" s="5"/>
      <c r="AL51" s="5"/>
      <c r="AM51" s="5"/>
      <c r="AN51" s="5"/>
      <c r="AO51" s="93">
        <f>+SUM(AO41:AO49)</f>
        <v>0</v>
      </c>
      <c r="AP51" s="93">
        <f>+SUM(AP41:AP49)</f>
        <v>0</v>
      </c>
      <c r="AQ51" s="1"/>
      <c r="AR51" s="1"/>
      <c r="AS51" s="1"/>
      <c r="AT51" s="44"/>
      <c r="AU51" s="44"/>
      <c r="AV51" s="4"/>
      <c r="AW51" s="5"/>
      <c r="AX51" s="93">
        <f>+SUM(AX41:AX49)</f>
        <v>0</v>
      </c>
      <c r="AY51" s="34"/>
    </row>
    <row r="52" spans="1:51" ht="12" customHeight="1" thickTop="1" x14ac:dyDescent="0.35">
      <c r="A52" s="1"/>
      <c r="B52" s="71"/>
      <c r="C52" s="1"/>
      <c r="D52" s="1"/>
      <c r="E52" s="1"/>
      <c r="F52" s="1"/>
      <c r="G52" s="1"/>
      <c r="H52" s="1"/>
      <c r="I52" s="34" t="s">
        <v>85</v>
      </c>
      <c r="J52" s="3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5"/>
      <c r="AG52" s="1"/>
      <c r="AH52" s="5"/>
      <c r="AI52" s="5"/>
      <c r="AJ52" s="5"/>
      <c r="AK52" s="5"/>
      <c r="AL52" s="5"/>
      <c r="AM52" s="5"/>
      <c r="AN52" s="5"/>
      <c r="AO52" s="5"/>
      <c r="AP52" s="5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" customHeight="1" x14ac:dyDescent="0.35">
      <c r="A53" s="1"/>
      <c r="B53" s="72" t="s">
        <v>29</v>
      </c>
      <c r="C53" s="3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5"/>
      <c r="AG53" s="1"/>
      <c r="AH53" s="5"/>
      <c r="AI53" s="5"/>
      <c r="AJ53" s="5"/>
      <c r="AK53" s="5"/>
      <c r="AL53" s="5"/>
      <c r="AM53" s="5"/>
      <c r="AN53" s="5"/>
      <c r="AO53" s="5"/>
      <c r="AP53" s="5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6.75" customHeight="1" x14ac:dyDescent="0.35">
      <c r="A54" s="1"/>
      <c r="B54" s="72"/>
      <c r="C54" s="3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5"/>
      <c r="AG54" s="1"/>
      <c r="AH54" s="5"/>
      <c r="AI54" s="5"/>
      <c r="AJ54" s="5"/>
      <c r="AK54" s="5"/>
      <c r="AL54" s="5"/>
      <c r="AM54" s="5"/>
      <c r="AN54" s="5"/>
      <c r="AO54" s="5"/>
      <c r="AP54" s="5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" customHeight="1" x14ac:dyDescent="0.35">
      <c r="A55" s="38"/>
      <c r="B55" s="39" t="s">
        <v>86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5"/>
      <c r="AG55" s="1"/>
      <c r="AH55" s="1"/>
      <c r="AI55" s="1"/>
      <c r="AJ55" s="1"/>
      <c r="AK55" s="5"/>
      <c r="AL55" s="5"/>
      <c r="AM55" s="5"/>
      <c r="AN55" s="5"/>
      <c r="AO55" s="5"/>
      <c r="AP55" s="5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" customHeight="1" x14ac:dyDescent="0.35">
      <c r="A56" s="38"/>
      <c r="B56" s="39" t="s">
        <v>87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5"/>
      <c r="AL56" s="5"/>
      <c r="AM56" s="5"/>
      <c r="AN56" s="5"/>
      <c r="AO56" s="5"/>
      <c r="AP56" s="5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" customHeight="1" x14ac:dyDescent="0.35">
      <c r="A57" s="38"/>
      <c r="B57" s="39" t="s">
        <v>88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" customHeight="1" x14ac:dyDescent="0.35">
      <c r="A58" s="38"/>
      <c r="B58" s="1" t="s">
        <v>89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" customHeight="1" x14ac:dyDescent="0.35">
      <c r="A59" s="38"/>
      <c r="B59" s="89" t="s">
        <v>112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" customHeight="1" x14ac:dyDescent="0.35">
      <c r="A60" s="3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" customHeight="1" x14ac:dyDescent="0.35">
      <c r="A61" s="35"/>
      <c r="B61" s="25" t="s">
        <v>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6.75" customHeight="1" x14ac:dyDescent="0.35">
      <c r="A62" s="3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" customHeight="1" x14ac:dyDescent="0.35">
      <c r="A63" s="36" t="s">
        <v>31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" customHeight="1" x14ac:dyDescent="0.35">
      <c r="A64" s="36" t="s">
        <v>32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" customHeight="1" x14ac:dyDescent="0.35">
      <c r="A65" s="36" t="s">
        <v>33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" customHeight="1" x14ac:dyDescent="0.35">
      <c r="A66" s="3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" customHeight="1" x14ac:dyDescent="0.35">
      <c r="A67" s="37"/>
      <c r="B67" s="25" t="s">
        <v>34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6.75" customHeight="1" x14ac:dyDescent="0.35">
      <c r="A68" s="37"/>
      <c r="B68" s="2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" customHeight="1" x14ac:dyDescent="0.35">
      <c r="A69" s="36" t="s">
        <v>35</v>
      </c>
      <c r="B69" s="2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" customHeight="1" x14ac:dyDescent="0.35">
      <c r="A70" s="36" t="s">
        <v>36</v>
      </c>
      <c r="B70" s="2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" customHeight="1" x14ac:dyDescent="0.35">
      <c r="A71" s="36" t="s">
        <v>37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" customHeight="1" x14ac:dyDescent="0.35">
      <c r="A72" s="37"/>
      <c r="B72" s="3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" customHeight="1" x14ac:dyDescent="0.35">
      <c r="A73" s="37"/>
      <c r="B73" s="25" t="s">
        <v>38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6.75" customHeight="1" x14ac:dyDescent="0.35">
      <c r="A74" s="37"/>
      <c r="B74" s="2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" customHeight="1" x14ac:dyDescent="0.35">
      <c r="A75" s="36" t="s">
        <v>39</v>
      </c>
      <c r="B75" s="2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" customHeight="1" x14ac:dyDescent="0.35">
      <c r="A76" s="36" t="s">
        <v>40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" customHeight="1" x14ac:dyDescent="0.35">
      <c r="A77" s="36" t="s">
        <v>41</v>
      </c>
      <c r="B77" s="3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" customHeight="1" x14ac:dyDescent="0.35">
      <c r="A78" s="36"/>
      <c r="B78" s="3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" customHeight="1" x14ac:dyDescent="0.35">
      <c r="A79" s="31"/>
      <c r="B79" s="25" t="s">
        <v>42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6.75" customHeight="1" x14ac:dyDescent="0.35">
      <c r="A80" s="31"/>
      <c r="B80" s="2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" customHeight="1" x14ac:dyDescent="0.35">
      <c r="A81" s="31"/>
      <c r="B81" s="40" t="s">
        <v>43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spans="1:51" ht="12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</row>
    <row r="1002" spans="1:51" ht="12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</row>
    <row r="1003" spans="1:51" ht="12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</row>
    <row r="1004" spans="1:51" ht="12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</row>
    <row r="1005" spans="1:51" ht="12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</row>
  </sheetData>
  <mergeCells count="12">
    <mergeCell ref="B38:J38"/>
    <mergeCell ref="B39:J39"/>
    <mergeCell ref="AM38:AP39"/>
    <mergeCell ref="X38:AA39"/>
    <mergeCell ref="AR38:AX38"/>
    <mergeCell ref="AI39:AK39"/>
    <mergeCell ref="AR39:AX39"/>
    <mergeCell ref="L39:W39"/>
    <mergeCell ref="AC39:AH39"/>
    <mergeCell ref="AC38:AK38"/>
    <mergeCell ref="L38:S38"/>
    <mergeCell ref="T38:W38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80D8-A687-4BB6-BB47-D96DA1F3B514}">
  <dimension ref="B3"/>
  <sheetViews>
    <sheetView showGridLines="0" workbookViewId="0">
      <selection activeCell="B3" sqref="B3"/>
    </sheetView>
  </sheetViews>
  <sheetFormatPr baseColWidth="10" defaultRowHeight="14.5" x14ac:dyDescent="0.35"/>
  <sheetData>
    <row r="3" spans="2:2" x14ac:dyDescent="0.35">
      <c r="B3" s="8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1500.08.01</vt:lpstr>
      <vt:lpstr>1500.08.02 </vt:lpstr>
      <vt:lpstr>Tabla de precios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2023-03-07T14:30:39Z</dcterms:created>
  <dcterms:modified xsi:type="dcterms:W3CDTF">2026-04-17T03:49:08Z</dcterms:modified>
</cp:coreProperties>
</file>