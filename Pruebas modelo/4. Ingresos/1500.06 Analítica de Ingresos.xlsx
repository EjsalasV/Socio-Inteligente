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4. Ingresos\"/>
    </mc:Choice>
  </mc:AlternateContent>
  <xr:revisionPtr revIDLastSave="0" documentId="13_ncr:1_{A5B39788-131F-4CDF-A51A-C726AFB0D4C3}" xr6:coauthVersionLast="47" xr6:coauthVersionMax="47" xr10:uidLastSave="{00000000-0000-0000-0000-000000000000}"/>
  <bookViews>
    <workbookView xWindow="-110" yWindow="-110" windowWidth="19420" windowHeight="10300" xr2:uid="{674F8EBC-DE19-4973-89DB-95C36DCCD9AD}"/>
  </bookViews>
  <sheets>
    <sheet name="1500.06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">NA()</definedName>
    <definedName name="___RSE2">'[1]CMA Calculations'!$L$409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RSE2">'[2]CMA Calculations'!$K$5754</definedName>
    <definedName name="_1Sin_nombre">#REF!</definedName>
    <definedName name="_2Sin_nombre_3">#REF!</definedName>
    <definedName name="_RSE1">#REF!</definedName>
    <definedName name="_RSE2">#REF!</definedName>
    <definedName name="_RSE3">'[3]MUS Calculations- Figure 5410.1'!$H$22</definedName>
    <definedName name="a">#REF!</definedName>
    <definedName name="A_IMPRESIÓN_IM">#REF!</definedName>
    <definedName name="_xlnm.Print_Area">#REF!</definedName>
    <definedName name="arreglo">#REF!</definedName>
    <definedName name="AS2DocOpenMode" hidden="1">"AS2DocumentEdit"</definedName>
    <definedName name="balance">#REF!</definedName>
    <definedName name="BASE2001">#REF!</definedName>
    <definedName name="BASEBG2001">#REF!</definedName>
    <definedName name="_xlnm.Database">#REF!</definedName>
    <definedName name="Beg_Bal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___0">#REF!</definedName>
    <definedName name="BuiltIn_Print_Area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clave">[4]Inicio!#REF!</definedName>
    <definedName name="Clients_Population_Total">#REF!</definedName>
    <definedName name="COIMM">#REF!</definedName>
    <definedName name="Computed_Sample_Population_Total">#REF!</definedName>
    <definedName name="Contab_Provision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d">#REF!</definedName>
    <definedName name="Data">#REF!</definedName>
    <definedName name="DBDA">[5]Hoja3!$Q$41</definedName>
    <definedName name="dffd">Scheduled_Payment+Extra_Payment</definedName>
    <definedName name="DMEI">[5]Hoja2!$Q$41</definedName>
    <definedName name="DS2PLHeader">#REF!</definedName>
    <definedName name="DS7RevProdHeader">#REF!</definedName>
    <definedName name="DS9PLFuncHeader">#REF!</definedName>
    <definedName name="Empresa">[4]Inicio!#REF!</definedName>
    <definedName name="End_Bal">#REF!</definedName>
    <definedName name="Extra_Pay">#REF!</definedName>
    <definedName name="Fecha_Inicial">[4]Inicio!#REF!</definedName>
    <definedName name="FTESFORE">#REF!</definedName>
    <definedName name="FTESYTD">#REF!</definedName>
    <definedName name="Full_Print">#REF!</definedName>
    <definedName name="Header_Row">ROW(#REF!)</definedName>
    <definedName name="HOJA">#REF!</definedName>
    <definedName name="Int">#REF!</definedName>
    <definedName name="INTANGIBLES">#REF!</definedName>
    <definedName name="Interest_Rate">#REF!</definedName>
    <definedName name="Interval">#REF!</definedName>
    <definedName name="J">#REF!</definedName>
    <definedName name="jj">Scheduled_Payment+Extra_Payment</definedName>
    <definedName name="L_CY_Beg">[6]Links!$F:$F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M">#REF!</definedName>
    <definedName name="MANUWL">#REF!</definedName>
    <definedName name="margen">[4]Inicio!#REF!</definedName>
    <definedName name="MARIA">#REF!</definedName>
    <definedName name="Materiality">#REF!</definedName>
    <definedName name="mayor">#REF!</definedName>
    <definedName name="mayorg">#REF!</definedName>
    <definedName name="mes">#REF!</definedName>
    <definedName name="MONEDA">#REF!</definedName>
    <definedName name="Monetary_Precision">#REF!</definedName>
    <definedName name="MP">#REF!</definedName>
    <definedName name="NonTop_Stratum_Value">#REF!</definedName>
    <definedName name="Num_Pmt_Per_Year">#REF!</definedName>
    <definedName name="Number_of_Payments">MATCH(0.01,End_Bal,-1)+1</definedName>
    <definedName name="Number_of_Selections">'[2]CMA Calculations'!$I$5754</definedName>
    <definedName name="NUMERICO">NA()</definedName>
    <definedName name="PAIS">#REF!</definedName>
    <definedName name="passwd">[4]Inicio!#REF!</definedName>
    <definedName name="Pay_Date">#REF!</definedName>
    <definedName name="Pay_Num">#REF!</definedName>
    <definedName name="Payment_Date">DATE(YEAR(Loan_Start),MONTH(Loan_Start)+Payment_Number,DAY(Loan_Start))</definedName>
    <definedName name="PCOST">#REF!</definedName>
    <definedName name="PCOSTBYACTV">#REF!</definedName>
    <definedName name="periodo">[4]Inicio!#REF!</definedName>
    <definedName name="pnot_fore">#REF!</definedName>
    <definedName name="pnot_month">#REF!</definedName>
    <definedName name="pnot_ytd">#REF!</definedName>
    <definedName name="PRANGE">#REF!</definedName>
    <definedName name="Pre_tax_materiality">#REF!</definedName>
    <definedName name="Princ">#REF!</definedName>
    <definedName name="Print_Area">#REF!</definedName>
    <definedName name="Print_Area_Reset">OFFSET(Full_Print,0,0,Last_Row)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R_Factor">#REF!</definedName>
    <definedName name="rev_fore">#REF!</definedName>
    <definedName name="rev_month">#REF!</definedName>
    <definedName name="rev_ytd">#REF!</definedName>
    <definedName name="S_CY_Beg_Data">[6]Lead!$F$1:$F$217</definedName>
    <definedName name="SAPBEXhrIndnt" hidden="1">1</definedName>
    <definedName name="SAPBEXrevision" hidden="1">9</definedName>
    <definedName name="SAPBEXsysID" hidden="1">"BL6"</definedName>
    <definedName name="SAPBEXwbID" hidden="1">"3US4CVJVAYMOMMXFQAGC0TC14"</definedName>
    <definedName name="Scale">[7]Options!$B$1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">#REF!</definedName>
    <definedName name="Selection_Remainder">#REF!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tarting_Point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EST1">#REF!</definedName>
    <definedName name="TESTHKEY">#REF!</definedName>
    <definedName name="TESTKEYS">#REF!</definedName>
    <definedName name="TESTVKEY">#REF!</definedName>
    <definedName name="tg">DATE(YEAR(Loan_Start),MONTH(Loan_Start)+Payment_Number,DAY(Loan_Start))</definedName>
    <definedName name="th">DATE(YEAR(Loan_Start),MONTH(Loan_Start)+Payment_Number,DAY(Loan_Start))</definedName>
    <definedName name="TIPO">#REF!</definedName>
    <definedName name="_xlnm.Print_Titles">#N/A</definedName>
    <definedName name="TN">DATE(YEAR(Loan_Start),MONTH(Loan_Start)+Payment_Number,DAY(Loan_Start))</definedName>
    <definedName name="Top_Stratum_Number">#REF!</definedName>
    <definedName name="Top_Stratum_Value">#REF!</definedName>
    <definedName name="Tot_knw_Xfoot">#REF!</definedName>
    <definedName name="Tot_lik_Xfoot">#REF!</definedName>
    <definedName name="Total_Interest">#REF!</definedName>
    <definedName name="Total_Number_Selections">#REF!</definedName>
    <definedName name="Total_Pay">#REF!</definedName>
    <definedName name="Total_Payment">Scheduled_Payment+Extra_Payment</definedName>
    <definedName name="Total_Population2">'[3]MUS Calculations- Figure 5410.1'!$D$22</definedName>
    <definedName name="usuario">[4]Inicio!#REF!</definedName>
    <definedName name="Values_Entered">IF(Loan_Amount*Interest_Rate*Loan_Years*Loan_Start&gt;0,1,0)</definedName>
    <definedName name="wrn.Aging._.and._.Trend._.Analysis." hidden="1">{#N/A,#N/A,FALSE,"Aging Summary";#N/A,#N/A,FALSE,"Ratio Analysis";#N/A,#N/A,FALSE,"Test 120 Day Accts";#N/A,#N/A,FALSE,"Tickmarks"}</definedName>
    <definedName name="XREF_COLUMN_1" hidden="1">[8]CMA_Selections!#REF!</definedName>
    <definedName name="XREF_COLUMN_2" hidden="1">'[2]CMA Selections'!#REF!</definedName>
    <definedName name="XREF_COLUMN_5" hidden="1">#REF!</definedName>
    <definedName name="XREF_COLUMN_6" hidden="1">[1]Base!#REF!</definedName>
    <definedName name="XREF_COLUMN_7" hidden="1">#REF!</definedName>
    <definedName name="XRefColumnsCount" hidden="1">3</definedName>
    <definedName name="XRefCopy10" hidden="1">#REF!</definedName>
    <definedName name="XRefCopy10Row" hidden="1">[2]XREF!#REF!</definedName>
    <definedName name="XRefCopy11Row" hidden="1">[2]XREF!#REF!</definedName>
    <definedName name="XRefCopy2" hidden="1">'[2]CMA Selections'!#REF!</definedName>
    <definedName name="XRefCopy2Row" hidden="1">#REF!</definedName>
    <definedName name="XRefCopy4" hidden="1">[2]Base!#REF!</definedName>
    <definedName name="XRefCopy4Row" hidden="1">[2]XREF!#REF!</definedName>
    <definedName name="XRefCopy5Row" hidden="1">[2]XREF!#REF!</definedName>
    <definedName name="XRefCopy6" hidden="1">#REF!</definedName>
    <definedName name="XRefCopy6Row" hidden="1">[2]XREF!#REF!</definedName>
    <definedName name="XRefCopy7" hidden="1">[2]Base!#REF!</definedName>
    <definedName name="XRefCopy7Row" hidden="1">[2]XREF!#REF!</definedName>
    <definedName name="XRefCopy8Row" hidden="1">[2]XREF!#REF!</definedName>
    <definedName name="XRefCopy9" hidden="1">#REF!</definedName>
    <definedName name="XRefCopy9Row" hidden="1">[2]XREF!#REF!</definedName>
    <definedName name="XRefCopyRangeCount" hidden="1">4</definedName>
    <definedName name="XRefPaste11Row" hidden="1">[2]XREF!#REF!</definedName>
    <definedName name="XRefPaste13" hidden="1">#REF!</definedName>
    <definedName name="XRefPaste3" hidden="1">'[2]CMA Selections'!#REF!</definedName>
    <definedName name="XRefPaste3Row" hidden="1">#REF!</definedName>
    <definedName name="XRefPaste4" hidden="1">'[2]CMA Selections'!#REF!</definedName>
    <definedName name="XRefPaste4Row" hidden="1">#REF!</definedName>
    <definedName name="XRefPaste5" hidden="1">'[2]CMA Selections'!#REF!</definedName>
    <definedName name="XRefPaste5Row" hidden="1">#REF!</definedName>
    <definedName name="XRefPaste6Row" hidden="1">[2]XREF!#REF!</definedName>
    <definedName name="XRefPaste7" hidden="1">[2]Base!#REF!</definedName>
    <definedName name="XRefPaste7Row" hidden="1">[2]XREF!#REF!</definedName>
    <definedName name="XRefPaste8" hidden="1">[1]Base!#REF!</definedName>
    <definedName name="XRefPaste8Row" hidden="1">[2]XREF!#REF!</definedName>
    <definedName name="XRefPaste9Row" hidden="1">[2]XREF!#REF!</definedName>
    <definedName name="XRefPasteRangeCount" hidden="1">6</definedName>
    <definedName name="XXX">OFFSET(Full_Print,0,0,Last_Row)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3" i="2" l="1"/>
  <c r="E133" i="2"/>
  <c r="F133" i="2" s="1"/>
  <c r="E131" i="2"/>
  <c r="F131" i="2" s="1"/>
  <c r="D124" i="2"/>
  <c r="C124" i="2"/>
  <c r="E122" i="2" s="1"/>
  <c r="C104" i="2"/>
  <c r="E99" i="2" s="1"/>
  <c r="D104" i="2"/>
  <c r="C84" i="2"/>
  <c r="D74" i="2" s="1"/>
  <c r="C64" i="2"/>
  <c r="E51" i="2"/>
  <c r="E62" i="2"/>
  <c r="E61" i="2"/>
  <c r="E60" i="2"/>
  <c r="E59" i="2"/>
  <c r="E58" i="2"/>
  <c r="E57" i="2"/>
  <c r="E56" i="2"/>
  <c r="E55" i="2"/>
  <c r="E54" i="2"/>
  <c r="E53" i="2"/>
  <c r="E52" i="2"/>
  <c r="D64" i="2"/>
  <c r="E42" i="2"/>
  <c r="E41" i="2"/>
  <c r="E40" i="2"/>
  <c r="E39" i="2"/>
  <c r="E38" i="2"/>
  <c r="E37" i="2"/>
  <c r="E36" i="2"/>
  <c r="E35" i="2"/>
  <c r="E34" i="2"/>
  <c r="E33" i="2"/>
  <c r="E32" i="2"/>
  <c r="E31" i="2"/>
  <c r="D44" i="2"/>
  <c r="C44" i="2"/>
  <c r="D151" i="2" l="1"/>
  <c r="D155" i="2"/>
  <c r="D159" i="2"/>
  <c r="D152" i="2"/>
  <c r="D156" i="2"/>
  <c r="D160" i="2"/>
  <c r="D153" i="2"/>
  <c r="D157" i="2"/>
  <c r="D161" i="2"/>
  <c r="D154" i="2"/>
  <c r="D158" i="2"/>
  <c r="E64" i="2"/>
  <c r="E96" i="2"/>
  <c r="E101" i="2"/>
  <c r="E92" i="2"/>
  <c r="E97" i="2"/>
  <c r="E102" i="2"/>
  <c r="E93" i="2"/>
  <c r="E98" i="2"/>
  <c r="D76" i="2"/>
  <c r="E94" i="2"/>
  <c r="E100" i="2"/>
  <c r="D72" i="2"/>
  <c r="E91" i="2"/>
  <c r="E95" i="2"/>
  <c r="E111" i="2"/>
  <c r="D144" i="2"/>
  <c r="E132" i="2"/>
  <c r="F132" i="2" s="1"/>
  <c r="E134" i="2"/>
  <c r="E115" i="2"/>
  <c r="E119" i="2"/>
  <c r="E112" i="2"/>
  <c r="E116" i="2"/>
  <c r="E120" i="2"/>
  <c r="E113" i="2"/>
  <c r="E117" i="2"/>
  <c r="E121" i="2"/>
  <c r="E114" i="2"/>
  <c r="E118" i="2"/>
  <c r="D77" i="2"/>
  <c r="D71" i="2"/>
  <c r="D80" i="2"/>
  <c r="D81" i="2"/>
  <c r="D73" i="2"/>
  <c r="D78" i="2"/>
  <c r="D82" i="2"/>
  <c r="D75" i="2"/>
  <c r="D79" i="2"/>
  <c r="E44" i="2"/>
  <c r="E104" i="2" l="1"/>
  <c r="E135" i="2"/>
  <c r="F135" i="2" s="1"/>
  <c r="F134" i="2"/>
  <c r="E124" i="2"/>
  <c r="E136" i="2" l="1"/>
  <c r="E137" i="2" l="1"/>
  <c r="F137" i="2" s="1"/>
  <c r="F136" i="2"/>
  <c r="E138" i="2" l="1"/>
  <c r="F138" i="2" s="1"/>
  <c r="E139" i="2" l="1"/>
  <c r="F139" i="2" s="1"/>
  <c r="E140" i="2" l="1"/>
  <c r="F140" i="2" l="1"/>
  <c r="E142" i="2"/>
  <c r="F142" i="2" s="1"/>
  <c r="E141" i="2"/>
  <c r="F141" i="2" s="1"/>
  <c r="E144" i="2" l="1"/>
  <c r="F144" i="2"/>
  <c r="C144" i="2"/>
</calcChain>
</file>

<file path=xl/sharedStrings.xml><?xml version="1.0" encoding="utf-8"?>
<sst xmlns="http://schemas.openxmlformats.org/spreadsheetml/2006/main" count="173" uniqueCount="87">
  <si>
    <t>Revisado por:</t>
  </si>
  <si>
    <t>Objetivo:</t>
  </si>
  <si>
    <t>Marzo</t>
  </si>
  <si>
    <t>Abril</t>
  </si>
  <si>
    <t>Mayo</t>
  </si>
  <si>
    <t>Junio</t>
  </si>
  <si>
    <t>Julio</t>
  </si>
  <si>
    <t>Agosto</t>
  </si>
  <si>
    <t>Septiembre</t>
  </si>
  <si>
    <t>Margen de utilidad %</t>
  </si>
  <si>
    <t>a)</t>
  </si>
  <si>
    <t>b)</t>
  </si>
  <si>
    <t>c)</t>
  </si>
  <si>
    <t>Conclusión:</t>
  </si>
  <si>
    <t>A</t>
  </si>
  <si>
    <t>B</t>
  </si>
  <si>
    <t>C</t>
  </si>
  <si>
    <t>Observaciones:</t>
  </si>
  <si>
    <t xml:space="preserve">Tomado de mayores contables a la fecha de revisión </t>
  </si>
  <si>
    <t>Sumatoria</t>
  </si>
  <si>
    <t>XX</t>
  </si>
  <si>
    <t>1.-</t>
  </si>
  <si>
    <t>2.-</t>
  </si>
  <si>
    <t>3.-</t>
  </si>
  <si>
    <t>4.-</t>
  </si>
  <si>
    <t>COMPAÑÍA MODELO S.A.</t>
  </si>
  <si>
    <t>AL 31 DE DICIEMBRE DE 20XX</t>
  </si>
  <si>
    <t>FECHA DE CORTE: _/_/20XX</t>
  </si>
  <si>
    <t>Preparado por:</t>
  </si>
  <si>
    <t>Ref.</t>
  </si>
  <si>
    <t>p/t 1600</t>
  </si>
  <si>
    <t>5.-</t>
  </si>
  <si>
    <t>Marcas de auditoría:</t>
  </si>
  <si>
    <t>Cálculos de Auditoría</t>
  </si>
  <si>
    <t>Notas aclaratorias:</t>
  </si>
  <si>
    <t>Obs.1</t>
  </si>
  <si>
    <t>Obs.2</t>
  </si>
  <si>
    <t>Obs.3</t>
  </si>
  <si>
    <t>***Concluir en función al objetivo</t>
  </si>
  <si>
    <t>1500.06</t>
  </si>
  <si>
    <t>ANALÍTICA DE INGRESOS</t>
  </si>
  <si>
    <t xml:space="preserve">Aplicar otras pruebas de auditoría en caso que las variaciones no puedan ser sustentadas. </t>
  </si>
  <si>
    <t>Solicitar a la Compañía: a) las ventas reales anuales de 20XX, b) presupuesto de ventas, c) ventas reales 20XX-1, d) notas de crédito 20XX</t>
  </si>
  <si>
    <t xml:space="preserve">Desarrollo: </t>
  </si>
  <si>
    <t>Variación</t>
  </si>
  <si>
    <t>Enero</t>
  </si>
  <si>
    <t>Febrero</t>
  </si>
  <si>
    <t xml:space="preserve">Octubre </t>
  </si>
  <si>
    <t xml:space="preserve">Noviembre </t>
  </si>
  <si>
    <t xml:space="preserve">Diciembre </t>
  </si>
  <si>
    <t>Presupuesto 20XX</t>
  </si>
  <si>
    <t>Facturación 20XX</t>
  </si>
  <si>
    <t>Ventas presupuestadas vs ventas reales</t>
  </si>
  <si>
    <t>Facturación 20XX-1</t>
  </si>
  <si>
    <t>Ventas  reales 20XX-1 vs ventas reales 20XX</t>
  </si>
  <si>
    <t>%</t>
  </si>
  <si>
    <t>Mes de venta</t>
  </si>
  <si>
    <t>Facturación vs notas de crédito 20XX</t>
  </si>
  <si>
    <t>Notas de crédito 20XX</t>
  </si>
  <si>
    <t>Facturación vs descuentos 20XX</t>
  </si>
  <si>
    <t>Descuentos 20XX</t>
  </si>
  <si>
    <t>Margen de utilidad</t>
  </si>
  <si>
    <t>Costo de ventas 20XX</t>
  </si>
  <si>
    <t>Margen de utilidad US$</t>
  </si>
  <si>
    <t>Concentración de clientes</t>
  </si>
  <si>
    <t>Cliente</t>
  </si>
  <si>
    <t>Total ventas 20XX</t>
  </si>
  <si>
    <t>Información proporcionada por el cliente</t>
  </si>
  <si>
    <t>Análisis:</t>
  </si>
  <si>
    <t>Realizar el análisis financiero de los aspectos anteriormente mencionados.</t>
  </si>
  <si>
    <t>Determinar picos y valles en las gráficas de los análisis de variaciones y consultar con la Compañía.</t>
  </si>
  <si>
    <t>p/t (referenciar al p/t en donde se encuentra la base de facturación)</t>
  </si>
  <si>
    <t>p/t (referenciar al p/t en donde se encuentra la base de notas de crédito)</t>
  </si>
  <si>
    <t>***Indicar de acuerdo al análisis del gráfico, la variación entre las ventas presupuestadas y ventas reales.</t>
  </si>
  <si>
    <t>***Indicar de acuerdo al análisis del gráfico, la variación entre las ventas del año anterior y año actual.</t>
  </si>
  <si>
    <t>***Indicar de acuerdo al análisis del gráfico, la relación entre las ventas del año y las devoluciones efectuadas.</t>
  </si>
  <si>
    <t>***Indicar de acuerdo al análisis del gráfico, la variación de las ventas durante el año.</t>
  </si>
  <si>
    <t>***Indicar de acuerdo al análisis del gráfico, la relación entre las ventas del año y el costo de ventas.</t>
  </si>
  <si>
    <t>Verificaciones:</t>
  </si>
  <si>
    <t xml:space="preserve">Realizar procedimientos analíticos al área de ingresos para determinar posibles riesgos. </t>
  </si>
  <si>
    <t>Procedimientos:</t>
  </si>
  <si>
    <t>Documentar el papel de trabajo y concluir en función del objetivo.</t>
  </si>
  <si>
    <t>Facturación mensual 20XX</t>
  </si>
  <si>
    <t>p/t ***referenciar al p/t en donde se encuentra la base de facturación</t>
  </si>
  <si>
    <t>p/t ***referenciar al p/t en donde se encuentra el presupuesto</t>
  </si>
  <si>
    <t>***Indicar de acuerdo al análisis del gráfico, la relación entre las ventas y los descuentos efectuados.</t>
  </si>
  <si>
    <t>***Identificar cuáles son los clientes en los que se concentran las ventas de la Compañía con su respectivo análisis.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</si>
</sst>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1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Tahoma"/>
      <family val="2"/>
    </font>
    <font>
      <sz val="11"/>
      <color indexed="8"/>
      <name val="Calibri"/>
      <family val="2"/>
    </font>
    <font>
      <b/>
      <sz val="10"/>
      <color rgb="FFFF0000"/>
      <name val="Marlett"/>
      <charset val="2"/>
    </font>
    <font>
      <b/>
      <sz val="10"/>
      <color rgb="FF002060"/>
      <name val="Tahoma"/>
      <family val="2"/>
    </font>
    <font>
      <sz val="10"/>
      <color indexed="8"/>
      <name val="Tahoma"/>
      <family val="2"/>
    </font>
    <font>
      <sz val="10"/>
      <color rgb="FFFF0000"/>
      <name val="Tahoma"/>
      <family val="2"/>
    </font>
    <font>
      <b/>
      <u/>
      <sz val="10"/>
      <color rgb="FF0000FF"/>
      <name val="Tahoma"/>
      <family val="2"/>
    </font>
    <font>
      <sz val="10"/>
      <name val="Arial"/>
      <family val="2"/>
    </font>
    <font>
      <sz val="10"/>
      <color theme="1"/>
      <name val="Trebuchet MS"/>
      <family val="2"/>
    </font>
    <font>
      <b/>
      <u/>
      <sz val="10"/>
      <color theme="1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7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47">
    <xf numFmtId="0" fontId="0" fillId="0" borderId="0" xfId="0"/>
    <xf numFmtId="164" fontId="8" fillId="2" borderId="0" xfId="4" applyNumberFormat="1" applyFont="1" applyFill="1" applyAlignment="1">
      <alignment horizontal="center"/>
    </xf>
    <xf numFmtId="164" fontId="6" fillId="2" borderId="0" xfId="4" applyNumberFormat="1" applyFont="1" applyFill="1" applyAlignment="1">
      <alignment horizontal="center"/>
    </xf>
    <xf numFmtId="0" fontId="2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6" fillId="0" borderId="0" xfId="0" applyFont="1" applyAlignment="1">
      <alignment horizontal="center"/>
    </xf>
    <xf numFmtId="0" fontId="12" fillId="3" borderId="0" xfId="4" applyFont="1" applyFill="1"/>
    <xf numFmtId="0" fontId="9" fillId="0" borderId="0" xfId="5" applyFont="1" applyAlignment="1">
      <alignment vertical="center"/>
    </xf>
    <xf numFmtId="0" fontId="9" fillId="0" borderId="0" xfId="6" applyFont="1"/>
    <xf numFmtId="0" fontId="9" fillId="2" borderId="0" xfId="0" applyFont="1" applyFill="1" applyAlignment="1">
      <alignment horizontal="left" vertical="top"/>
    </xf>
    <xf numFmtId="0" fontId="2" fillId="0" borderId="2" xfId="0" applyFont="1" applyBorder="1"/>
    <xf numFmtId="0" fontId="9" fillId="4" borderId="3" xfId="0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1" fillId="0" borderId="0" xfId="0" applyFont="1"/>
    <xf numFmtId="0" fontId="12" fillId="2" borderId="0" xfId="7" applyFont="1" applyFill="1"/>
    <xf numFmtId="0" fontId="2" fillId="0" borderId="0" xfId="0" applyFont="1" applyBorder="1"/>
    <xf numFmtId="164" fontId="10" fillId="2" borderId="0" xfId="4" applyNumberFormat="1" applyFont="1" applyFill="1" applyBorder="1" applyAlignment="1">
      <alignment horizontal="left"/>
    </xf>
    <xf numFmtId="0" fontId="2" fillId="2" borderId="0" xfId="0" applyFont="1" applyFill="1" applyAlignment="1">
      <alignment vertical="center"/>
    </xf>
    <xf numFmtId="0" fontId="6" fillId="2" borderId="0" xfId="8" applyFont="1" applyFill="1" applyAlignment="1">
      <alignment horizontal="center"/>
    </xf>
    <xf numFmtId="0" fontId="6" fillId="0" borderId="0" xfId="7" applyFont="1" applyAlignment="1">
      <alignment horizontal="center" vertical="center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9" fillId="0" borderId="0" xfId="0" applyFont="1"/>
    <xf numFmtId="0" fontId="2" fillId="0" borderId="0" xfId="0" applyFont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166" fontId="2" fillId="0" borderId="1" xfId="1" applyNumberFormat="1" applyFont="1" applyBorder="1"/>
    <xf numFmtId="166" fontId="2" fillId="0" borderId="0" xfId="1" applyNumberFormat="1" applyFont="1" applyBorder="1"/>
    <xf numFmtId="166" fontId="2" fillId="0" borderId="4" xfId="1" applyNumberFormat="1" applyFont="1" applyFill="1" applyBorder="1"/>
    <xf numFmtId="0" fontId="15" fillId="3" borderId="0" xfId="4" applyFont="1" applyFill="1"/>
    <xf numFmtId="166" fontId="14" fillId="0" borderId="1" xfId="1" applyNumberFormat="1" applyFont="1" applyBorder="1"/>
    <xf numFmtId="166" fontId="2" fillId="0" borderId="4" xfId="0" applyNumberFormat="1" applyFont="1" applyBorder="1"/>
    <xf numFmtId="9" fontId="2" fillId="0" borderId="1" xfId="2" applyFont="1" applyBorder="1"/>
    <xf numFmtId="0" fontId="14" fillId="0" borderId="1" xfId="1" applyNumberFormat="1" applyFont="1" applyBorder="1"/>
    <xf numFmtId="166" fontId="2" fillId="0" borderId="1" xfId="0" applyNumberFormat="1" applyFont="1" applyBorder="1"/>
    <xf numFmtId="0" fontId="11" fillId="0" borderId="1" xfId="0" applyFont="1" applyBorder="1" applyAlignment="1">
      <alignment horizontal="left"/>
    </xf>
    <xf numFmtId="0" fontId="16" fillId="0" borderId="0" xfId="9" applyFont="1" applyBorder="1"/>
    <xf numFmtId="0" fontId="2" fillId="0" borderId="0" xfId="0" applyFont="1" applyFill="1"/>
    <xf numFmtId="0" fontId="6" fillId="0" borderId="0" xfId="0" applyFont="1"/>
    <xf numFmtId="0" fontId="12" fillId="0" borderId="0" xfId="0" applyFont="1" applyFill="1"/>
    <xf numFmtId="0" fontId="11" fillId="0" borderId="1" xfId="0" applyFont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</cellXfs>
  <cellStyles count="10">
    <cellStyle name="Millares" xfId="1" builtinId="3"/>
    <cellStyle name="Normal" xfId="0" builtinId="0"/>
    <cellStyle name="Normal 15" xfId="3" xr:uid="{2C671EA4-A9B7-4333-ABA6-86A04EAA72AB}"/>
    <cellStyle name="Normal 17 2" xfId="9" xr:uid="{2D77AE65-1200-44D1-9264-67D281F4F024}"/>
    <cellStyle name="Normal 2" xfId="5" xr:uid="{98B3EC44-D057-4F85-9D1B-A48E454276D1}"/>
    <cellStyle name="Normal 2 10" xfId="8" xr:uid="{D5643CF8-297F-447D-AF14-15B48C083090}"/>
    <cellStyle name="Normal 2 2 2 10" xfId="7" xr:uid="{196B62E7-914A-4D63-9A29-985ABB313E15}"/>
    <cellStyle name="Normal 6" xfId="6" xr:uid="{5555ABBD-4EE4-492F-8DFF-C2FE484704BE}"/>
    <cellStyle name="Normal_2102 Sumaria de Efectivo y Equivalentes" xfId="4" xr:uid="{060D3A96-12B9-471F-AF7D-11C9D18918B9}"/>
    <cellStyle name="Porcentaje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rgbClr val="00206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Ventas</a:t>
            </a:r>
            <a:r>
              <a:rPr lang="en-US" sz="1000" b="1" baseline="0">
                <a:solidFill>
                  <a:srgbClr val="00206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presupuestadas vs ventas reales 20XX</a:t>
            </a:r>
            <a:endParaRPr lang="en-US" sz="1000" b="1">
              <a:solidFill>
                <a:srgbClr val="00206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layout>
        <c:manualLayout>
          <c:xMode val="edge"/>
          <c:yMode val="edge"/>
          <c:x val="0.1996526684164479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'1500.06'!$C$30</c:f>
              <c:strCache>
                <c:ptCount val="1"/>
                <c:pt idx="0">
                  <c:v>Presupuesto 20XX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'1500.06'!$B$31:$B$42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'1500.06'!$C$31:$C$42</c:f>
              <c:numCache>
                <c:formatCode>_(* #,##0_);_(* \(#,##0\);_(* "-"??_);_(@_)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BD-4BEC-BEEB-B3AEDE26F98E}"/>
            </c:ext>
          </c:extLst>
        </c:ser>
        <c:ser>
          <c:idx val="1"/>
          <c:order val="1"/>
          <c:tx>
            <c:strRef>
              <c:f>'1500.06'!$D$30</c:f>
              <c:strCache>
                <c:ptCount val="1"/>
                <c:pt idx="0">
                  <c:v>Facturación 20XX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'1500.06'!$B$31:$B$42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'1500.06'!$D$31:$D$42</c:f>
              <c:numCache>
                <c:formatCode>_(* #,##0_);_(* \(#,##0\);_(* "-"??_);_(@_)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BD-4BEC-BEEB-B3AEDE26F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097600"/>
        <c:axId val="443094688"/>
      </c:lineChart>
      <c:catAx>
        <c:axId val="44309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C"/>
          </a:p>
        </c:txPr>
        <c:crossAx val="443094688"/>
        <c:crosses val="autoZero"/>
        <c:auto val="1"/>
        <c:lblAlgn val="ctr"/>
        <c:lblOffset val="100"/>
        <c:noMultiLvlLbl val="0"/>
      </c:catAx>
      <c:valAx>
        <c:axId val="44309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C"/>
          </a:p>
        </c:txPr>
        <c:crossAx val="44309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rgbClr val="00206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Ventas reales 20XX-1 vs ventas reales 20XX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'1500.06'!$C$50</c:f>
              <c:strCache>
                <c:ptCount val="1"/>
                <c:pt idx="0">
                  <c:v>Facturación 20XX-1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'1500.06'!$B$51:$B$62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'1500.06'!$C$51:$C$62</c:f>
              <c:numCache>
                <c:formatCode>_(* #,##0_);_(* \(#,##0\);_(* "-"??_);_(@_)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6-4CCD-B615-65196AEE5C84}"/>
            </c:ext>
          </c:extLst>
        </c:ser>
        <c:ser>
          <c:idx val="1"/>
          <c:order val="1"/>
          <c:tx>
            <c:strRef>
              <c:f>'1500.06'!$D$50</c:f>
              <c:strCache>
                <c:ptCount val="1"/>
                <c:pt idx="0">
                  <c:v>Facturación 20XX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'1500.06'!$B$51:$B$62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'1500.06'!$D$51:$D$62</c:f>
              <c:numCache>
                <c:formatCode>_(* #,##0_);_(* \(#,##0\);_(* "-"??_);_(@_)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96-4CCD-B615-65196AEE5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262992"/>
        <c:axId val="264263408"/>
      </c:lineChart>
      <c:catAx>
        <c:axId val="26426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C"/>
          </a:p>
        </c:txPr>
        <c:crossAx val="264263408"/>
        <c:crosses val="autoZero"/>
        <c:auto val="1"/>
        <c:lblAlgn val="ctr"/>
        <c:lblOffset val="100"/>
        <c:noMultiLvlLbl val="0"/>
      </c:catAx>
      <c:valAx>
        <c:axId val="26426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C"/>
          </a:p>
        </c:txPr>
        <c:crossAx val="26426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000" b="1">
                <a:solidFill>
                  <a:srgbClr val="00206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Facturación mensual 20XX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'1500.06'!$C$70</c:f>
              <c:strCache>
                <c:ptCount val="1"/>
                <c:pt idx="0">
                  <c:v>Facturación 20XX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'1500.06'!$B$71:$B$82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'1500.06'!$C$71:$C$82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9-4B84-BC8C-D4EDE2CA4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645664"/>
        <c:axId val="265642336"/>
      </c:lineChart>
      <c:catAx>
        <c:axId val="26564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C"/>
          </a:p>
        </c:txPr>
        <c:crossAx val="265642336"/>
        <c:crosses val="autoZero"/>
        <c:auto val="1"/>
        <c:lblAlgn val="ctr"/>
        <c:lblOffset val="100"/>
        <c:noMultiLvlLbl val="0"/>
      </c:catAx>
      <c:valAx>
        <c:axId val="26564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C"/>
          </a:p>
        </c:txPr>
        <c:crossAx val="2656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000" b="1">
                <a:solidFill>
                  <a:srgbClr val="00206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Facturación vs</a:t>
            </a:r>
            <a:r>
              <a:rPr lang="en-US" sz="1000" b="1" baseline="0">
                <a:solidFill>
                  <a:srgbClr val="00206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notas de crédito</a:t>
            </a:r>
          </a:p>
          <a:p>
            <a:pPr>
              <a:defRPr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000" b="1">
                <a:solidFill>
                  <a:srgbClr val="00206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20XX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'1500.06'!$C$90</c:f>
              <c:strCache>
                <c:ptCount val="1"/>
                <c:pt idx="0">
                  <c:v>Facturación 20XX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'1500.06'!$B$91:$B$102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'1500.06'!$C$91:$C$102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D4-4DB5-9E36-177375CCBF25}"/>
            </c:ext>
          </c:extLst>
        </c:ser>
        <c:ser>
          <c:idx val="1"/>
          <c:order val="1"/>
          <c:tx>
            <c:strRef>
              <c:f>'1500.06'!$D$90</c:f>
              <c:strCache>
                <c:ptCount val="1"/>
                <c:pt idx="0">
                  <c:v>Notas de crédito 20XX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'1500.06'!$B$91:$B$102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'1500.06'!$D$91:$D$102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D4-4DB5-9E36-177375CCB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645664"/>
        <c:axId val="265642336"/>
      </c:lineChart>
      <c:catAx>
        <c:axId val="26564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C"/>
          </a:p>
        </c:txPr>
        <c:crossAx val="265642336"/>
        <c:crosses val="autoZero"/>
        <c:auto val="1"/>
        <c:lblAlgn val="ctr"/>
        <c:lblOffset val="100"/>
        <c:noMultiLvlLbl val="0"/>
      </c:catAx>
      <c:valAx>
        <c:axId val="26564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C"/>
          </a:p>
        </c:txPr>
        <c:crossAx val="2656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000" b="1">
                <a:solidFill>
                  <a:srgbClr val="00206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Facturación vs</a:t>
            </a:r>
            <a:r>
              <a:rPr lang="en-US" sz="1000" b="1" baseline="0">
                <a:solidFill>
                  <a:srgbClr val="00206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descuentos</a:t>
            </a:r>
          </a:p>
          <a:p>
            <a:pPr>
              <a:defRPr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000" b="1">
                <a:solidFill>
                  <a:srgbClr val="00206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20XX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'1500.06'!$C$110</c:f>
              <c:strCache>
                <c:ptCount val="1"/>
                <c:pt idx="0">
                  <c:v>Facturación 20XX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'1500.06'!$B$111:$B$122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'1500.06'!$C$111:$C$122</c:f>
              <c:numCache>
                <c:formatCode>_(* #,##0_);_(* \(#,##0\);_(* "-"??_);_(@_)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1-43F7-B165-850AD8AD7CF9}"/>
            </c:ext>
          </c:extLst>
        </c:ser>
        <c:ser>
          <c:idx val="1"/>
          <c:order val="1"/>
          <c:tx>
            <c:strRef>
              <c:f>'1500.06'!$D$110</c:f>
              <c:strCache>
                <c:ptCount val="1"/>
                <c:pt idx="0">
                  <c:v>Descuentos 20XX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'1500.06'!$B$111:$B$122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'1500.06'!$D$111:$D$122</c:f>
              <c:numCache>
                <c:formatCode>_(* #,##0_);_(* \(#,##0\);_(* "-"??_);_(@_)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1-43F7-B165-850AD8AD7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645664"/>
        <c:axId val="265642336"/>
      </c:lineChart>
      <c:catAx>
        <c:axId val="26564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C"/>
          </a:p>
        </c:txPr>
        <c:crossAx val="265642336"/>
        <c:crosses val="autoZero"/>
        <c:auto val="1"/>
        <c:lblAlgn val="ctr"/>
        <c:lblOffset val="100"/>
        <c:noMultiLvlLbl val="0"/>
      </c:catAx>
      <c:valAx>
        <c:axId val="26564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C"/>
          </a:p>
        </c:txPr>
        <c:crossAx val="2656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000" b="1">
                <a:solidFill>
                  <a:srgbClr val="00206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Margen</a:t>
            </a:r>
            <a:r>
              <a:rPr lang="en-US" sz="1000" b="1" baseline="0">
                <a:solidFill>
                  <a:srgbClr val="00206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de utilidad</a:t>
            </a:r>
            <a:endParaRPr lang="en-US" sz="1000" b="1">
              <a:solidFill>
                <a:srgbClr val="00206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'1500.06'!$C$130</c:f>
              <c:strCache>
                <c:ptCount val="1"/>
                <c:pt idx="0">
                  <c:v>Facturación 20XX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'1500.06'!$B$131:$B$142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'1500.06'!$C$131:$C$142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2-43FD-80F1-2D202BEC6600}"/>
            </c:ext>
          </c:extLst>
        </c:ser>
        <c:ser>
          <c:idx val="1"/>
          <c:order val="1"/>
          <c:tx>
            <c:strRef>
              <c:f>'1500.06'!$D$130</c:f>
              <c:strCache>
                <c:ptCount val="1"/>
                <c:pt idx="0">
                  <c:v>Costo de ventas 20XX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'1500.06'!$B$131:$B$142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 </c:v>
                </c:pt>
                <c:pt idx="11">
                  <c:v>Diciembre </c:v>
                </c:pt>
              </c:strCache>
            </c:strRef>
          </c:cat>
          <c:val>
            <c:numRef>
              <c:f>'1500.06'!$D$131:$D$142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2-43FD-80F1-2D202BEC6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645664"/>
        <c:axId val="265642336"/>
      </c:lineChart>
      <c:catAx>
        <c:axId val="26564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C"/>
          </a:p>
        </c:txPr>
        <c:crossAx val="265642336"/>
        <c:crosses val="autoZero"/>
        <c:auto val="1"/>
        <c:lblAlgn val="ctr"/>
        <c:lblOffset val="100"/>
        <c:noMultiLvlLbl val="0"/>
      </c:catAx>
      <c:valAx>
        <c:axId val="26564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EC"/>
          </a:p>
        </c:txPr>
        <c:crossAx val="2656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r>
              <a:rPr lang="en-US" sz="1000">
                <a:solidFill>
                  <a:srgbClr val="00206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Concentración de clientes 20XX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2"/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'1500.06'!$C$150</c:f>
              <c:strCache>
                <c:ptCount val="1"/>
                <c:pt idx="0">
                  <c:v>Total ventas 20XX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B0-49DE-B076-F95CBEB9F94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B0-49DE-B076-F95CBEB9F94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7B0-49DE-B076-F95CBEB9F94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7B0-49DE-B076-F95CBEB9F94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7B0-49DE-B076-F95CBEB9F94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7B0-49DE-B076-F95CBEB9F94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7B0-49DE-B076-F95CBEB9F94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7B0-49DE-B076-F95CBEB9F94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7B0-49DE-B076-F95CBEB9F94F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7B0-49DE-B076-F95CBEB9F94F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7B0-49DE-B076-F95CBEB9F9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'1500.06'!$B$151:$B$161</c:f>
              <c:numCache>
                <c:formatCode>General</c:formatCode>
                <c:ptCount val="11"/>
              </c:numCache>
            </c:numRef>
          </c:cat>
          <c:val>
            <c:numRef>
              <c:f>'1500.06'!$C$151:$C$161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7B0-49DE-B076-F95CBEB9F94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/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Trebuchet MS" panose="020B0603020202020204" pitchFamily="34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1.xml"/><Relationship Id="rId7" Type="http://schemas.openxmlformats.org/officeDocument/2006/relationships/chart" Target="../charts/chart4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chart" Target="../charts/chart3.xml"/><Relationship Id="rId11" Type="http://schemas.openxmlformats.org/officeDocument/2006/relationships/image" Target="../media/image4.emf"/><Relationship Id="rId5" Type="http://schemas.openxmlformats.org/officeDocument/2006/relationships/chart" Target="../charts/chart2.xml"/><Relationship Id="rId10" Type="http://schemas.openxmlformats.org/officeDocument/2006/relationships/chart" Target="../charts/chart7.xml"/><Relationship Id="rId4" Type="http://schemas.openxmlformats.org/officeDocument/2006/relationships/image" Target="../media/image3.emf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356616</xdr:colOff>
      <xdr:row>0</xdr:row>
      <xdr:rowOff>14668</xdr:rowOff>
    </xdr:from>
    <xdr:to>
      <xdr:col>2</xdr:col>
      <xdr:colOff>140843</xdr:colOff>
      <xdr:row>5</xdr:row>
      <xdr:rowOff>83723</xdr:rowOff>
    </xdr:to>
    <xdr:sp macro="" textlink="">
      <xdr:nvSpPr>
        <xdr:cNvPr id="2" name="AutoShape 201">
          <a:extLst>
            <a:ext uri="{FF2B5EF4-FFF2-40B4-BE49-F238E27FC236}">
              <a16:creationId xmlns:a16="http://schemas.microsoft.com/office/drawing/2014/main" id="{F912FE21-B0DA-42CB-8477-B7DAB51C49CB}"/>
            </a:ext>
          </a:extLst>
        </xdr:cNvPr>
        <xdr:cNvSpPr>
          <a:spLocks noChangeAspect="1" noChangeArrowheads="1"/>
        </xdr:cNvSpPr>
      </xdr:nvSpPr>
      <xdr:spPr bwMode="auto">
        <a:xfrm>
          <a:off x="356616" y="14668"/>
          <a:ext cx="908177" cy="862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537369</xdr:colOff>
      <xdr:row>5</xdr:row>
      <xdr:rowOff>69055</xdr:rowOff>
    </xdr:to>
    <xdr:sp macro="" textlink="">
      <xdr:nvSpPr>
        <xdr:cNvPr id="3" name="AutoShape 201">
          <a:extLst>
            <a:ext uri="{FF2B5EF4-FFF2-40B4-BE49-F238E27FC236}">
              <a16:creationId xmlns:a16="http://schemas.microsoft.com/office/drawing/2014/main" id="{37AEE4E9-AF28-4347-96D7-BC15425DCB1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899319" cy="862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552450</xdr:colOff>
      <xdr:row>43</xdr:row>
      <xdr:rowOff>0</xdr:rowOff>
    </xdr:from>
    <xdr:ext cx="158750" cy="158750"/>
    <xdr:pic>
      <xdr:nvPicPr>
        <xdr:cNvPr id="5" name="Imagen 4">
          <a:extLst>
            <a:ext uri="{FF2B5EF4-FFF2-40B4-BE49-F238E27FC236}">
              <a16:creationId xmlns:a16="http://schemas.microsoft.com/office/drawing/2014/main" id="{B2314857-FE3B-4C77-9026-0206AB312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629920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55563</xdr:colOff>
      <xdr:row>27</xdr:row>
      <xdr:rowOff>119063</xdr:rowOff>
    </xdr:from>
    <xdr:to>
      <xdr:col>1</xdr:col>
      <xdr:colOff>230188</xdr:colOff>
      <xdr:row>28</xdr:row>
      <xdr:rowOff>134938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B43ABFF-0525-4E94-88B3-CC1F106CF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13" y="4335463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207169</xdr:colOff>
      <xdr:row>28</xdr:row>
      <xdr:rowOff>41276</xdr:rowOff>
    </xdr:from>
    <xdr:to>
      <xdr:col>4</xdr:col>
      <xdr:colOff>0</xdr:colOff>
      <xdr:row>28</xdr:row>
      <xdr:rowOff>44450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DB5645D3-49AD-4904-98BD-06400627C42E}"/>
            </a:ext>
          </a:extLst>
        </xdr:cNvPr>
        <xdr:cNvCxnSpPr/>
      </xdr:nvCxnSpPr>
      <xdr:spPr>
        <a:xfrm>
          <a:off x="569119" y="4416426"/>
          <a:ext cx="2377281" cy="31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79375</xdr:colOff>
      <xdr:row>27</xdr:row>
      <xdr:rowOff>6350</xdr:rowOff>
    </xdr:from>
    <xdr:to>
      <xdr:col>13</xdr:col>
      <xdr:colOff>79375</xdr:colOff>
      <xdr:row>44</xdr:row>
      <xdr:rowOff>25400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BD53DD6-685D-4919-A47D-54B5CF0C7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290513</xdr:colOff>
      <xdr:row>27</xdr:row>
      <xdr:rowOff>119063</xdr:rowOff>
    </xdr:from>
    <xdr:to>
      <xdr:col>4</xdr:col>
      <xdr:colOff>465138</xdr:colOff>
      <xdr:row>28</xdr:row>
      <xdr:rowOff>134938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02564C0-002D-4142-92BF-9103514A7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0413" y="4335463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552450</xdr:colOff>
      <xdr:row>63</xdr:row>
      <xdr:rowOff>0</xdr:rowOff>
    </xdr:from>
    <xdr:ext cx="158750" cy="158750"/>
    <xdr:pic>
      <xdr:nvPicPr>
        <xdr:cNvPr id="14" name="Imagen 13">
          <a:extLst>
            <a:ext uri="{FF2B5EF4-FFF2-40B4-BE49-F238E27FC236}">
              <a16:creationId xmlns:a16="http://schemas.microsoft.com/office/drawing/2014/main" id="{E869572A-A3AC-49FD-AB55-764A5BA0D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684530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55563</xdr:colOff>
      <xdr:row>47</xdr:row>
      <xdr:rowOff>119063</xdr:rowOff>
    </xdr:from>
    <xdr:ext cx="174625" cy="174625"/>
    <xdr:pic>
      <xdr:nvPicPr>
        <xdr:cNvPr id="15" name="Imagen 14">
          <a:extLst>
            <a:ext uri="{FF2B5EF4-FFF2-40B4-BE49-F238E27FC236}">
              <a16:creationId xmlns:a16="http://schemas.microsoft.com/office/drawing/2014/main" id="{7D268211-8891-4F35-9DA2-1EF4DFBDD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13" y="7612063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207169</xdr:colOff>
      <xdr:row>48</xdr:row>
      <xdr:rowOff>41276</xdr:rowOff>
    </xdr:from>
    <xdr:to>
      <xdr:col>4</xdr:col>
      <xdr:colOff>0</xdr:colOff>
      <xdr:row>48</xdr:row>
      <xdr:rowOff>44450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066F759A-4ADE-40B3-B82C-DEAE52D9B106}"/>
            </a:ext>
          </a:extLst>
        </xdr:cNvPr>
        <xdr:cNvCxnSpPr/>
      </xdr:nvCxnSpPr>
      <xdr:spPr>
        <a:xfrm>
          <a:off x="569119" y="4416426"/>
          <a:ext cx="2377281" cy="31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290513</xdr:colOff>
      <xdr:row>47</xdr:row>
      <xdr:rowOff>119063</xdr:rowOff>
    </xdr:from>
    <xdr:ext cx="174625" cy="174625"/>
    <xdr:pic>
      <xdr:nvPicPr>
        <xdr:cNvPr id="17" name="Imagen 16">
          <a:extLst>
            <a:ext uri="{FF2B5EF4-FFF2-40B4-BE49-F238E27FC236}">
              <a16:creationId xmlns:a16="http://schemas.microsoft.com/office/drawing/2014/main" id="{D8BEAB1F-86E3-4F4D-9C06-41C5DE183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0413" y="7612063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41275</xdr:colOff>
      <xdr:row>48</xdr:row>
      <xdr:rowOff>69850</xdr:rowOff>
    </xdr:from>
    <xdr:to>
      <xdr:col>13</xdr:col>
      <xdr:colOff>41275</xdr:colOff>
      <xdr:row>64</xdr:row>
      <xdr:rowOff>25400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E02A9254-B733-4271-8DD8-CFF27F6AE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</xdr:col>
      <xdr:colOff>6350</xdr:colOff>
      <xdr:row>67</xdr:row>
      <xdr:rowOff>146050</xdr:rowOff>
    </xdr:from>
    <xdr:ext cx="174625" cy="174625"/>
    <xdr:pic>
      <xdr:nvPicPr>
        <xdr:cNvPr id="19" name="Imagen 18">
          <a:extLst>
            <a:ext uri="{FF2B5EF4-FFF2-40B4-BE49-F238E27FC236}">
              <a16:creationId xmlns:a16="http://schemas.microsoft.com/office/drawing/2014/main" id="{7FB8F7FF-E61F-402F-AC4C-5AC30AD7C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1106805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152400</xdr:colOff>
      <xdr:row>68</xdr:row>
      <xdr:rowOff>57150</xdr:rowOff>
    </xdr:from>
    <xdr:to>
      <xdr:col>2</xdr:col>
      <xdr:colOff>965200</xdr:colOff>
      <xdr:row>68</xdr:row>
      <xdr:rowOff>63500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1094F4BE-1D1E-4B76-91F1-660CEACB86EE}"/>
            </a:ext>
          </a:extLst>
        </xdr:cNvPr>
        <xdr:cNvCxnSpPr/>
      </xdr:nvCxnSpPr>
      <xdr:spPr>
        <a:xfrm>
          <a:off x="514350" y="11137900"/>
          <a:ext cx="1574800" cy="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533400</xdr:colOff>
      <xdr:row>83</xdr:row>
      <xdr:rowOff>0</xdr:rowOff>
    </xdr:from>
    <xdr:ext cx="158750" cy="158750"/>
    <xdr:pic>
      <xdr:nvPicPr>
        <xdr:cNvPr id="21" name="Imagen 20">
          <a:extLst>
            <a:ext uri="{FF2B5EF4-FFF2-40B4-BE49-F238E27FC236}">
              <a16:creationId xmlns:a16="http://schemas.microsoft.com/office/drawing/2014/main" id="{010223F5-599F-4DCD-8D9E-9AB8A5F79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1355090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47625</xdr:colOff>
      <xdr:row>66</xdr:row>
      <xdr:rowOff>152400</xdr:rowOff>
    </xdr:from>
    <xdr:to>
      <xdr:col>13</xdr:col>
      <xdr:colOff>47625</xdr:colOff>
      <xdr:row>83</xdr:row>
      <xdr:rowOff>107950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DFB171C0-DCB7-41E9-93F2-5547FD1B5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</xdr:col>
      <xdr:colOff>533400</xdr:colOff>
      <xdr:row>103</xdr:row>
      <xdr:rowOff>0</xdr:rowOff>
    </xdr:from>
    <xdr:ext cx="158750" cy="158750"/>
    <xdr:pic>
      <xdr:nvPicPr>
        <xdr:cNvPr id="23" name="Imagen 22">
          <a:extLst>
            <a:ext uri="{FF2B5EF4-FFF2-40B4-BE49-F238E27FC236}">
              <a16:creationId xmlns:a16="http://schemas.microsoft.com/office/drawing/2014/main" id="{7C22C0DF-CAEF-4FEF-88C5-12AAF7BFA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1355090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55563</xdr:colOff>
      <xdr:row>87</xdr:row>
      <xdr:rowOff>119063</xdr:rowOff>
    </xdr:from>
    <xdr:ext cx="174625" cy="174625"/>
    <xdr:pic>
      <xdr:nvPicPr>
        <xdr:cNvPr id="25" name="Imagen 24">
          <a:extLst>
            <a:ext uri="{FF2B5EF4-FFF2-40B4-BE49-F238E27FC236}">
              <a16:creationId xmlns:a16="http://schemas.microsoft.com/office/drawing/2014/main" id="{2EA845D8-9791-4F17-937A-CEFB52B0A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13" y="7612063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207169</xdr:colOff>
      <xdr:row>88</xdr:row>
      <xdr:rowOff>41276</xdr:rowOff>
    </xdr:from>
    <xdr:to>
      <xdr:col>4</xdr:col>
      <xdr:colOff>0</xdr:colOff>
      <xdr:row>88</xdr:row>
      <xdr:rowOff>44450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F73BA17C-ADB5-446A-990A-A77E49B7AABF}"/>
            </a:ext>
          </a:extLst>
        </xdr:cNvPr>
        <xdr:cNvCxnSpPr/>
      </xdr:nvCxnSpPr>
      <xdr:spPr>
        <a:xfrm>
          <a:off x="569119" y="7693026"/>
          <a:ext cx="2440781" cy="31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290513</xdr:colOff>
      <xdr:row>87</xdr:row>
      <xdr:rowOff>119063</xdr:rowOff>
    </xdr:from>
    <xdr:ext cx="174625" cy="174625"/>
    <xdr:pic>
      <xdr:nvPicPr>
        <xdr:cNvPr id="27" name="Imagen 26">
          <a:extLst>
            <a:ext uri="{FF2B5EF4-FFF2-40B4-BE49-F238E27FC236}">
              <a16:creationId xmlns:a16="http://schemas.microsoft.com/office/drawing/2014/main" id="{4A3C960D-810F-4386-B555-AA9968A25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0413" y="7612063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336550</xdr:colOff>
      <xdr:row>67</xdr:row>
      <xdr:rowOff>139700</xdr:rowOff>
    </xdr:from>
    <xdr:ext cx="174625" cy="174625"/>
    <xdr:pic>
      <xdr:nvPicPr>
        <xdr:cNvPr id="29" name="Imagen 28">
          <a:extLst>
            <a:ext uri="{FF2B5EF4-FFF2-40B4-BE49-F238E27FC236}">
              <a16:creationId xmlns:a16="http://schemas.microsoft.com/office/drawing/2014/main" id="{6194BE14-F7B6-40A4-B082-C020FA84A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4750" y="1106170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88</xdr:row>
      <xdr:rowOff>12700</xdr:rowOff>
    </xdr:from>
    <xdr:to>
      <xdr:col>13</xdr:col>
      <xdr:colOff>0</xdr:colOff>
      <xdr:row>103</xdr:row>
      <xdr:rowOff>133350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19A87802-FE90-47E6-A596-DC2BD5912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</xdr:col>
      <xdr:colOff>533400</xdr:colOff>
      <xdr:row>123</xdr:row>
      <xdr:rowOff>0</xdr:rowOff>
    </xdr:from>
    <xdr:ext cx="158750" cy="158750"/>
    <xdr:pic>
      <xdr:nvPicPr>
        <xdr:cNvPr id="31" name="Imagen 30">
          <a:extLst>
            <a:ext uri="{FF2B5EF4-FFF2-40B4-BE49-F238E27FC236}">
              <a16:creationId xmlns:a16="http://schemas.microsoft.com/office/drawing/2014/main" id="{F6A8CB93-BF8F-4B25-89D7-112CC4B17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1697990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55563</xdr:colOff>
      <xdr:row>107</xdr:row>
      <xdr:rowOff>119063</xdr:rowOff>
    </xdr:from>
    <xdr:ext cx="174625" cy="174625"/>
    <xdr:pic>
      <xdr:nvPicPr>
        <xdr:cNvPr id="32" name="Imagen 31">
          <a:extLst>
            <a:ext uri="{FF2B5EF4-FFF2-40B4-BE49-F238E27FC236}">
              <a16:creationId xmlns:a16="http://schemas.microsoft.com/office/drawing/2014/main" id="{1839B768-F588-42B6-B5F8-C477B4C93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13" y="14317663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207169</xdr:colOff>
      <xdr:row>108</xdr:row>
      <xdr:rowOff>41276</xdr:rowOff>
    </xdr:from>
    <xdr:to>
      <xdr:col>4</xdr:col>
      <xdr:colOff>0</xdr:colOff>
      <xdr:row>108</xdr:row>
      <xdr:rowOff>44450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47C39C03-5DA5-41A0-A6F3-3BFD61C02D5C}"/>
            </a:ext>
          </a:extLst>
        </xdr:cNvPr>
        <xdr:cNvCxnSpPr/>
      </xdr:nvCxnSpPr>
      <xdr:spPr>
        <a:xfrm>
          <a:off x="569119" y="14398626"/>
          <a:ext cx="2440781" cy="31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290513</xdr:colOff>
      <xdr:row>107</xdr:row>
      <xdr:rowOff>119063</xdr:rowOff>
    </xdr:from>
    <xdr:ext cx="174625" cy="174625"/>
    <xdr:pic>
      <xdr:nvPicPr>
        <xdr:cNvPr id="34" name="Imagen 33">
          <a:extLst>
            <a:ext uri="{FF2B5EF4-FFF2-40B4-BE49-F238E27FC236}">
              <a16:creationId xmlns:a16="http://schemas.microsoft.com/office/drawing/2014/main" id="{843FF044-BF0F-47EF-A770-57A9A4F06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0413" y="14317663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109</xdr:row>
      <xdr:rowOff>0</xdr:rowOff>
    </xdr:from>
    <xdr:to>
      <xdr:col>13</xdr:col>
      <xdr:colOff>0</xdr:colOff>
      <xdr:row>124</xdr:row>
      <xdr:rowOff>44450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4D9CB88D-3679-4D50-B877-C63D4F130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1</xdr:col>
      <xdr:colOff>539750</xdr:colOff>
      <xdr:row>143</xdr:row>
      <xdr:rowOff>0</xdr:rowOff>
    </xdr:from>
    <xdr:ext cx="158750" cy="158750"/>
    <xdr:pic>
      <xdr:nvPicPr>
        <xdr:cNvPr id="36" name="Imagen 35">
          <a:extLst>
            <a:ext uri="{FF2B5EF4-FFF2-40B4-BE49-F238E27FC236}">
              <a16:creationId xmlns:a16="http://schemas.microsoft.com/office/drawing/2014/main" id="{8D54F872-9E17-4AF0-9612-B8BBE77CC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700" y="2360930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129</xdr:row>
      <xdr:rowOff>0</xdr:rowOff>
    </xdr:from>
    <xdr:to>
      <xdr:col>13</xdr:col>
      <xdr:colOff>0</xdr:colOff>
      <xdr:row>144</xdr:row>
      <xdr:rowOff>25400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2B900D4-EB7D-49E7-B644-13B57967E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1</xdr:col>
      <xdr:colOff>6350</xdr:colOff>
      <xdr:row>147</xdr:row>
      <xdr:rowOff>146050</xdr:rowOff>
    </xdr:from>
    <xdr:ext cx="174625" cy="174625"/>
    <xdr:pic>
      <xdr:nvPicPr>
        <xdr:cNvPr id="38" name="Imagen 37">
          <a:extLst>
            <a:ext uri="{FF2B5EF4-FFF2-40B4-BE49-F238E27FC236}">
              <a16:creationId xmlns:a16="http://schemas.microsoft.com/office/drawing/2014/main" id="{0DA55355-3593-41E2-BF30-25A6A71F8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1106805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152400</xdr:colOff>
      <xdr:row>148</xdr:row>
      <xdr:rowOff>57150</xdr:rowOff>
    </xdr:from>
    <xdr:to>
      <xdr:col>2</xdr:col>
      <xdr:colOff>965200</xdr:colOff>
      <xdr:row>148</xdr:row>
      <xdr:rowOff>63500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13EF511B-2017-4080-9970-3693B13F6A7F}"/>
            </a:ext>
          </a:extLst>
        </xdr:cNvPr>
        <xdr:cNvCxnSpPr/>
      </xdr:nvCxnSpPr>
      <xdr:spPr>
        <a:xfrm>
          <a:off x="514350" y="11137900"/>
          <a:ext cx="1574800" cy="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533400</xdr:colOff>
      <xdr:row>162</xdr:row>
      <xdr:rowOff>0</xdr:rowOff>
    </xdr:from>
    <xdr:ext cx="158750" cy="158750"/>
    <xdr:pic>
      <xdr:nvPicPr>
        <xdr:cNvPr id="40" name="Imagen 39">
          <a:extLst>
            <a:ext uri="{FF2B5EF4-FFF2-40B4-BE49-F238E27FC236}">
              <a16:creationId xmlns:a16="http://schemas.microsoft.com/office/drawing/2014/main" id="{67F80CEA-56C8-4A2F-88EE-BAC592BD8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1355090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336550</xdr:colOff>
      <xdr:row>147</xdr:row>
      <xdr:rowOff>139700</xdr:rowOff>
    </xdr:from>
    <xdr:ext cx="174625" cy="174625"/>
    <xdr:pic>
      <xdr:nvPicPr>
        <xdr:cNvPr id="41" name="Imagen 40">
          <a:extLst>
            <a:ext uri="{FF2B5EF4-FFF2-40B4-BE49-F238E27FC236}">
              <a16:creationId xmlns:a16="http://schemas.microsoft.com/office/drawing/2014/main" id="{2B7D21D3-AFA7-4977-88B8-C496D4F0B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4750" y="1106170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55563</xdr:colOff>
      <xdr:row>127</xdr:row>
      <xdr:rowOff>119063</xdr:rowOff>
    </xdr:from>
    <xdr:ext cx="174625" cy="174625"/>
    <xdr:pic>
      <xdr:nvPicPr>
        <xdr:cNvPr id="42" name="Imagen 41">
          <a:extLst>
            <a:ext uri="{FF2B5EF4-FFF2-40B4-BE49-F238E27FC236}">
              <a16:creationId xmlns:a16="http://schemas.microsoft.com/office/drawing/2014/main" id="{0B5969D1-BA32-4418-9059-D212B282F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513" y="17746663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207169</xdr:colOff>
      <xdr:row>128</xdr:row>
      <xdr:rowOff>41276</xdr:rowOff>
    </xdr:from>
    <xdr:to>
      <xdr:col>2</xdr:col>
      <xdr:colOff>952500</xdr:colOff>
      <xdr:row>128</xdr:row>
      <xdr:rowOff>44450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id="{F39710AB-A196-49D2-95A3-C6A2D818470B}"/>
            </a:ext>
          </a:extLst>
        </xdr:cNvPr>
        <xdr:cNvCxnSpPr/>
      </xdr:nvCxnSpPr>
      <xdr:spPr>
        <a:xfrm>
          <a:off x="569119" y="21256626"/>
          <a:ext cx="1507331" cy="31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11113</xdr:colOff>
      <xdr:row>127</xdr:row>
      <xdr:rowOff>119063</xdr:rowOff>
    </xdr:from>
    <xdr:ext cx="174625" cy="174625"/>
    <xdr:pic>
      <xdr:nvPicPr>
        <xdr:cNvPr id="44" name="Imagen 43">
          <a:extLst>
            <a:ext uri="{FF2B5EF4-FFF2-40B4-BE49-F238E27FC236}">
              <a16:creationId xmlns:a16="http://schemas.microsoft.com/office/drawing/2014/main" id="{BE0FB640-C8D4-4899-9EE9-F4FE14DDB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1013" y="21334413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185738</xdr:colOff>
      <xdr:row>128</xdr:row>
      <xdr:rowOff>47626</xdr:rowOff>
    </xdr:from>
    <xdr:to>
      <xdr:col>5</xdr:col>
      <xdr:colOff>730250</xdr:colOff>
      <xdr:row>128</xdr:row>
      <xdr:rowOff>50800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39BEC003-1A8B-437B-A98E-9BEE58E6AA8C}"/>
            </a:ext>
          </a:extLst>
        </xdr:cNvPr>
        <xdr:cNvCxnSpPr>
          <a:stCxn id="44" idx="3"/>
        </xdr:cNvCxnSpPr>
      </xdr:nvCxnSpPr>
      <xdr:spPr>
        <a:xfrm>
          <a:off x="3195638" y="21421726"/>
          <a:ext cx="1331912" cy="31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148</xdr:row>
      <xdr:rowOff>120650</xdr:rowOff>
    </xdr:from>
    <xdr:to>
      <xdr:col>13</xdr:col>
      <xdr:colOff>1041399</xdr:colOff>
      <xdr:row>165</xdr:row>
      <xdr:rowOff>120650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2A708620-F24F-4EE4-A1B6-4614496DA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</xdr:col>
      <xdr:colOff>360363</xdr:colOff>
      <xdr:row>127</xdr:row>
      <xdr:rowOff>131763</xdr:rowOff>
    </xdr:from>
    <xdr:to>
      <xdr:col>3</xdr:col>
      <xdr:colOff>534988</xdr:colOff>
      <xdr:row>128</xdr:row>
      <xdr:rowOff>147638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D01E2B22-3F49-4489-8959-94E921A6C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8563" y="21188363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134747</xdr:colOff>
      <xdr:row>170</xdr:row>
      <xdr:rowOff>23813</xdr:rowOff>
    </xdr:from>
    <xdr:to>
      <xdr:col>0</xdr:col>
      <xdr:colOff>293497</xdr:colOff>
      <xdr:row>171</xdr:row>
      <xdr:rowOff>20638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2BC9774A-5044-4D85-814D-09DFE9570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7" y="10742613"/>
          <a:ext cx="158750" cy="15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124397</xdr:colOff>
      <xdr:row>171</xdr:row>
      <xdr:rowOff>7937</xdr:rowOff>
    </xdr:from>
    <xdr:ext cx="158750" cy="158750"/>
    <xdr:pic>
      <xdr:nvPicPr>
        <xdr:cNvPr id="54" name="Imagen 53">
          <a:extLst>
            <a:ext uri="{FF2B5EF4-FFF2-40B4-BE49-F238E27FC236}">
              <a16:creationId xmlns:a16="http://schemas.microsoft.com/office/drawing/2014/main" id="{D197EF4E-8101-480F-8490-C8C33D6B1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7" y="10898187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119065</xdr:colOff>
      <xdr:row>172</xdr:row>
      <xdr:rowOff>0</xdr:rowOff>
    </xdr:from>
    <xdr:to>
      <xdr:col>0</xdr:col>
      <xdr:colOff>277815</xdr:colOff>
      <xdr:row>173</xdr:row>
      <xdr:rowOff>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863EC2FB-C80F-4221-83EF-555B598C8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5" y="1104900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173</xdr:row>
      <xdr:rowOff>0</xdr:rowOff>
    </xdr:from>
    <xdr:to>
      <xdr:col>0</xdr:col>
      <xdr:colOff>273050</xdr:colOff>
      <xdr:row>174</xdr:row>
      <xdr:rowOff>0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7B71ED45-64C6-4D33-8B99-CDC2ADABA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867660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nunez\CaseWare\2016_UIO_Auditor&#237;a_Holduntrust%20(Sync)\Audidt%20Sampl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nunez\AppData\Local\Microsoft\Windows\INetCache\Content.Outlook\FLMNA50F\Audit%20Sample%20Arrayanes_Prelimin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nunez\AppData\Local\Microsoft\Windows\INetCache\Content.Outlook\FLMNA50F\Users\GECERDA\Documents\Deloitte\Plantilla%20de%20Selecciones%20Nuevo%20Enfoqu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TABILIDAD\Excel\mayor_Serras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sola\Mis%20documentos\INEC\Copia%20de%20formulario%20de%20manufactura%202009%202da%20entreg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1%20Sueldos%20y%20Salarios%20Combined%20Leadsheet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valenzuela\Documents\Base%20Legal\Pruebas%202008\Pruebas%202008%20Finales\Mis%20Documentos\NOMINA\PRESUPUESTO%202006\AOP%202006%20Personnel%20Cost\h\Crest%20Reports\Actuals%202005\March%2005\P&amp;L%20March%2005%20BP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nunez\AppData\Local\Microsoft\Windows\INetCache\Content.Outlook\FLMNA50F\Users\ALARELLANO\Documents\Deloitte\Herramientas%20Deloitte\8340%20Selecci&#243;n%20CMA%20para%20APT%20de%20gast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New Audit Methodology Guidance"/>
      <sheetName val="Base"/>
      <sheetName val="Sample Size &amp; Threshold Calc"/>
      <sheetName val="Sample Data"/>
      <sheetName val="Calc"/>
      <sheetName val="CMA Calculations"/>
      <sheetName val="CMA Selections"/>
      <sheetName val="XREF"/>
      <sheetName val="Tickmarks"/>
      <sheetName val="CMA_SampleDesign"/>
      <sheetName val="DialogInsert"/>
      <sheetName val="Selección "/>
    </sheetNames>
    <sheetDataSet>
      <sheetData sheetId="0" refreshError="1"/>
      <sheetData sheetId="1" refreshError="1"/>
      <sheetData sheetId="2">
        <row r="3">
          <cell r="A3" t="str">
            <v>AL 31 DE OCTUBRE DE 2016</v>
          </cell>
        </row>
      </sheetData>
      <sheetData sheetId="3" refreshError="1"/>
      <sheetData sheetId="4" refreshError="1"/>
      <sheetData sheetId="5" refreshError="1"/>
      <sheetData sheetId="6">
        <row r="409">
          <cell r="J409">
            <v>5</v>
          </cell>
          <cell r="L409">
            <v>-11778.999999999962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New Audit Methodology Guidance"/>
      <sheetName val="Sample Size &amp; Threshold Calc"/>
      <sheetName val="Sample Data"/>
      <sheetName val="Calc"/>
      <sheetName val="Base"/>
      <sheetName val="CMA Calculations"/>
      <sheetName val="CMA Selections"/>
      <sheetName val="XREF"/>
      <sheetName val="Tickmarks"/>
      <sheetName val="CMA_SampleDesign"/>
      <sheetName val="DialogInsert"/>
      <sheetName val="Selección 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ARRAYANES COUNTRY CLUB</v>
          </cell>
        </row>
      </sheetData>
      <sheetData sheetId="6">
        <row r="5754">
          <cell r="I5754">
            <v>13</v>
          </cell>
          <cell r="K5754">
            <v>-35100.0000000047</v>
          </cell>
        </row>
      </sheetData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Sample Data"/>
      <sheetName val="Calc"/>
      <sheetName val="MUS Calculations- Figure 5410.1"/>
      <sheetName val="MUS Selections"/>
      <sheetName val="Tickmarks"/>
      <sheetName val="CMA_SampleDesign"/>
      <sheetName val="DialogInsert"/>
      <sheetName val="#REF"/>
    </sheetNames>
    <sheetDataSet>
      <sheetData sheetId="0" refreshError="1"/>
      <sheetData sheetId="1" refreshError="1"/>
      <sheetData sheetId="2" refreshError="1"/>
      <sheetData sheetId="3">
        <row r="22">
          <cell r="D22">
            <v>0</v>
          </cell>
          <cell r="H22" t="e">
            <v>#DIV/0!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00000000000"/>
      <sheetName val="Inicio"/>
      <sheetName val="Reporte"/>
      <sheetName val="Reporte (2)"/>
      <sheetName val="Hoja1"/>
    </sheetNames>
    <sheetDataSet>
      <sheetData sheetId="0"/>
      <sheetData sheetId="1"/>
      <sheetData sheetId="2">
        <row r="6">
          <cell r="B6" t="str">
            <v>13</v>
          </cell>
        </row>
      </sheetData>
      <sheetData sheetId="3"/>
      <sheetData sheetId="4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MP"/>
      <sheetName val="PRODUCCION"/>
      <sheetName val="Hoja6"/>
      <sheetName val="detalle de otros"/>
    </sheetNames>
    <sheetDataSet>
      <sheetData sheetId="0" refreshError="1"/>
      <sheetData sheetId="1">
        <row r="41">
          <cell r="Q41">
            <v>7931</v>
          </cell>
        </row>
      </sheetData>
      <sheetData sheetId="2">
        <row r="41">
          <cell r="Q41">
            <v>160811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>
        <row r="2">
          <cell r="F2" t="str">
            <v>Preliminar</v>
          </cell>
        </row>
        <row r="4">
          <cell r="F4">
            <v>2382614</v>
          </cell>
        </row>
        <row r="5">
          <cell r="F5">
            <v>0</v>
          </cell>
        </row>
        <row r="6">
          <cell r="F6">
            <v>35854</v>
          </cell>
        </row>
        <row r="7">
          <cell r="F7">
            <v>3081</v>
          </cell>
        </row>
        <row r="8">
          <cell r="F8">
            <v>98604</v>
          </cell>
        </row>
        <row r="9">
          <cell r="F9">
            <v>165590</v>
          </cell>
        </row>
        <row r="10">
          <cell r="F10">
            <v>42948</v>
          </cell>
        </row>
        <row r="11">
          <cell r="F11">
            <v>107253</v>
          </cell>
        </row>
        <row r="12">
          <cell r="F12">
            <v>583840</v>
          </cell>
        </row>
        <row r="13">
          <cell r="F13">
            <v>377755</v>
          </cell>
        </row>
        <row r="14">
          <cell r="F14">
            <v>261123</v>
          </cell>
        </row>
        <row r="15">
          <cell r="F15">
            <v>87438</v>
          </cell>
        </row>
        <row r="16">
          <cell r="F16">
            <v>200177</v>
          </cell>
        </row>
        <row r="17">
          <cell r="F17">
            <v>158529</v>
          </cell>
        </row>
        <row r="18">
          <cell r="F18">
            <v>1200</v>
          </cell>
        </row>
        <row r="19">
          <cell r="F19">
            <v>32</v>
          </cell>
        </row>
        <row r="20">
          <cell r="F20">
            <v>169226</v>
          </cell>
        </row>
        <row r="21">
          <cell r="F21">
            <v>178</v>
          </cell>
        </row>
        <row r="22">
          <cell r="F22">
            <v>375</v>
          </cell>
        </row>
        <row r="23">
          <cell r="F23">
            <v>26</v>
          </cell>
        </row>
        <row r="24">
          <cell r="F24">
            <v>229</v>
          </cell>
        </row>
        <row r="25">
          <cell r="F25">
            <v>55</v>
          </cell>
        </row>
        <row r="26">
          <cell r="F26">
            <v>22325</v>
          </cell>
        </row>
        <row r="27">
          <cell r="F27">
            <v>105319</v>
          </cell>
        </row>
        <row r="28">
          <cell r="F28">
            <v>0</v>
          </cell>
        </row>
        <row r="29">
          <cell r="F29">
            <v>14886</v>
          </cell>
        </row>
        <row r="30">
          <cell r="F30">
            <v>36856</v>
          </cell>
        </row>
        <row r="31">
          <cell r="F31">
            <v>540</v>
          </cell>
        </row>
        <row r="32">
          <cell r="F32">
            <v>109072</v>
          </cell>
        </row>
        <row r="33">
          <cell r="F33">
            <v>15784</v>
          </cell>
        </row>
        <row r="34">
          <cell r="F34">
            <v>4381</v>
          </cell>
        </row>
        <row r="35">
          <cell r="F35">
            <v>4985290</v>
          </cell>
        </row>
        <row r="37">
          <cell r="F37">
            <v>23550</v>
          </cell>
        </row>
        <row r="38">
          <cell r="F38">
            <v>3408</v>
          </cell>
        </row>
        <row r="39">
          <cell r="F39">
            <v>6813</v>
          </cell>
        </row>
        <row r="40">
          <cell r="F40">
            <v>10326</v>
          </cell>
        </row>
        <row r="41">
          <cell r="F41">
            <v>977</v>
          </cell>
        </row>
        <row r="42">
          <cell r="F42">
            <v>34309</v>
          </cell>
        </row>
        <row r="43">
          <cell r="F43">
            <v>279359</v>
          </cell>
        </row>
        <row r="44">
          <cell r="F44">
            <v>58635</v>
          </cell>
        </row>
        <row r="45">
          <cell r="F45">
            <v>3406</v>
          </cell>
        </row>
        <row r="46">
          <cell r="F46">
            <v>758412</v>
          </cell>
        </row>
        <row r="47">
          <cell r="F47">
            <v>1179195</v>
          </cell>
        </row>
        <row r="49">
          <cell r="F49">
            <v>0</v>
          </cell>
        </row>
        <row r="51">
          <cell r="F51">
            <v>0</v>
          </cell>
        </row>
        <row r="53">
          <cell r="F53">
            <v>32223</v>
          </cell>
        </row>
        <row r="54">
          <cell r="F54">
            <v>170509</v>
          </cell>
        </row>
        <row r="55">
          <cell r="F55">
            <v>15386</v>
          </cell>
        </row>
        <row r="56">
          <cell r="F56">
            <v>67211</v>
          </cell>
        </row>
        <row r="57">
          <cell r="F57">
            <v>9809</v>
          </cell>
        </row>
        <row r="58">
          <cell r="F58">
            <v>44468</v>
          </cell>
        </row>
        <row r="59">
          <cell r="F59">
            <v>68638</v>
          </cell>
        </row>
        <row r="60">
          <cell r="F60">
            <v>2654</v>
          </cell>
        </row>
        <row r="61">
          <cell r="F61">
            <v>952</v>
          </cell>
        </row>
        <row r="62">
          <cell r="F62">
            <v>75171</v>
          </cell>
        </row>
        <row r="63">
          <cell r="F63">
            <v>3441</v>
          </cell>
        </row>
        <row r="64">
          <cell r="F64">
            <v>6725</v>
          </cell>
        </row>
        <row r="65">
          <cell r="F65">
            <v>2387</v>
          </cell>
        </row>
        <row r="66">
          <cell r="F66">
            <v>59987</v>
          </cell>
        </row>
        <row r="67">
          <cell r="F67">
            <v>33090</v>
          </cell>
        </row>
        <row r="68">
          <cell r="F68">
            <v>20400</v>
          </cell>
        </row>
        <row r="69">
          <cell r="F69">
            <v>53204</v>
          </cell>
        </row>
        <row r="70">
          <cell r="F70">
            <v>9404</v>
          </cell>
        </row>
        <row r="71">
          <cell r="F71">
            <v>50443</v>
          </cell>
        </row>
        <row r="72">
          <cell r="F72">
            <v>37509</v>
          </cell>
        </row>
        <row r="73">
          <cell r="F73">
            <v>17747</v>
          </cell>
        </row>
        <row r="74">
          <cell r="F74">
            <v>18009</v>
          </cell>
        </row>
        <row r="75">
          <cell r="F75">
            <v>15433</v>
          </cell>
        </row>
        <row r="76">
          <cell r="F76">
            <v>23306</v>
          </cell>
        </row>
        <row r="77">
          <cell r="F77">
            <v>3063861</v>
          </cell>
        </row>
        <row r="78">
          <cell r="F78">
            <v>129426</v>
          </cell>
        </row>
        <row r="79">
          <cell r="F79">
            <v>8923</v>
          </cell>
        </row>
        <row r="80">
          <cell r="F80">
            <v>10128</v>
          </cell>
        </row>
        <row r="81">
          <cell r="F81">
            <v>1190</v>
          </cell>
        </row>
        <row r="82">
          <cell r="F82">
            <v>38147</v>
          </cell>
        </row>
        <row r="83">
          <cell r="F83">
            <v>39364</v>
          </cell>
        </row>
        <row r="84">
          <cell r="F84">
            <v>21867</v>
          </cell>
        </row>
        <row r="85">
          <cell r="F85">
            <v>60891</v>
          </cell>
        </row>
        <row r="86">
          <cell r="F86">
            <v>8907</v>
          </cell>
        </row>
        <row r="87">
          <cell r="F87">
            <v>706</v>
          </cell>
        </row>
        <row r="88">
          <cell r="F88">
            <v>119890</v>
          </cell>
        </row>
        <row r="89">
          <cell r="F89">
            <v>61792</v>
          </cell>
        </row>
        <row r="90">
          <cell r="F90">
            <v>9618</v>
          </cell>
        </row>
        <row r="91">
          <cell r="F91">
            <v>1561</v>
          </cell>
        </row>
        <row r="92">
          <cell r="F92">
            <v>32268</v>
          </cell>
        </row>
        <row r="93">
          <cell r="F93">
            <v>3618</v>
          </cell>
        </row>
        <row r="94">
          <cell r="F94">
            <v>736926</v>
          </cell>
        </row>
        <row r="95">
          <cell r="F95">
            <v>67715</v>
          </cell>
        </row>
        <row r="96">
          <cell r="F96">
            <v>6777</v>
          </cell>
        </row>
        <row r="97">
          <cell r="F97">
            <v>5509</v>
          </cell>
        </row>
        <row r="98">
          <cell r="F98">
            <v>16656</v>
          </cell>
        </row>
        <row r="99">
          <cell r="F99">
            <v>65260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2143</v>
          </cell>
        </row>
        <row r="103">
          <cell r="F103">
            <v>3782</v>
          </cell>
        </row>
        <row r="104">
          <cell r="F104">
            <v>3600</v>
          </cell>
        </row>
        <row r="105">
          <cell r="F105">
            <v>32198</v>
          </cell>
        </row>
        <row r="106">
          <cell r="F106">
            <v>5390829</v>
          </cell>
        </row>
        <row r="108">
          <cell r="F108">
            <v>6751</v>
          </cell>
        </row>
        <row r="109">
          <cell r="F109">
            <v>54599</v>
          </cell>
        </row>
        <row r="110">
          <cell r="F110">
            <v>951</v>
          </cell>
        </row>
        <row r="111">
          <cell r="F111">
            <v>10031</v>
          </cell>
        </row>
        <row r="112">
          <cell r="F112">
            <v>3540</v>
          </cell>
        </row>
        <row r="113">
          <cell r="F113">
            <v>572</v>
          </cell>
        </row>
        <row r="114">
          <cell r="F114">
            <v>7775</v>
          </cell>
        </row>
        <row r="115">
          <cell r="F115">
            <v>0</v>
          </cell>
        </row>
        <row r="116">
          <cell r="F116">
            <v>33351</v>
          </cell>
        </row>
        <row r="117">
          <cell r="F117">
            <v>5291</v>
          </cell>
        </row>
        <row r="118">
          <cell r="F118">
            <v>-200000</v>
          </cell>
        </row>
        <row r="119">
          <cell r="F119">
            <v>224730</v>
          </cell>
        </row>
        <row r="120">
          <cell r="F120">
            <v>302</v>
          </cell>
        </row>
        <row r="121">
          <cell r="F121">
            <v>217644</v>
          </cell>
        </row>
        <row r="122">
          <cell r="F122">
            <v>308397</v>
          </cell>
        </row>
        <row r="123">
          <cell r="F123">
            <v>0</v>
          </cell>
        </row>
        <row r="124">
          <cell r="F124">
            <v>673934</v>
          </cell>
        </row>
        <row r="126">
          <cell r="F126">
            <v>222258</v>
          </cell>
        </row>
        <row r="127">
          <cell r="F127">
            <v>24979</v>
          </cell>
        </row>
        <row r="128">
          <cell r="F128">
            <v>203091</v>
          </cell>
        </row>
        <row r="129">
          <cell r="F129">
            <v>144344</v>
          </cell>
        </row>
        <row r="130">
          <cell r="F130">
            <v>70559</v>
          </cell>
        </row>
        <row r="131">
          <cell r="F131">
            <v>75946</v>
          </cell>
        </row>
        <row r="132">
          <cell r="F132">
            <v>16790</v>
          </cell>
        </row>
        <row r="133">
          <cell r="F133">
            <v>6104</v>
          </cell>
        </row>
        <row r="134">
          <cell r="F134">
            <v>19002</v>
          </cell>
        </row>
        <row r="135">
          <cell r="F135">
            <v>70</v>
          </cell>
        </row>
        <row r="136">
          <cell r="F136">
            <v>0</v>
          </cell>
        </row>
        <row r="137">
          <cell r="F137">
            <v>121</v>
          </cell>
        </row>
        <row r="138">
          <cell r="F138">
            <v>120926</v>
          </cell>
        </row>
        <row r="139">
          <cell r="F139">
            <v>14327</v>
          </cell>
        </row>
        <row r="140">
          <cell r="F140">
            <v>369481</v>
          </cell>
        </row>
        <row r="141">
          <cell r="F141">
            <v>24140</v>
          </cell>
        </row>
        <row r="142">
          <cell r="F142">
            <v>64949</v>
          </cell>
        </row>
        <row r="143">
          <cell r="F143">
            <v>62943</v>
          </cell>
        </row>
        <row r="144">
          <cell r="F144">
            <v>121960</v>
          </cell>
        </row>
        <row r="145">
          <cell r="F145">
            <v>69450</v>
          </cell>
        </row>
        <row r="146">
          <cell r="F146">
            <v>1100</v>
          </cell>
        </row>
        <row r="147">
          <cell r="F147">
            <v>23740</v>
          </cell>
        </row>
        <row r="148">
          <cell r="F148">
            <v>164946</v>
          </cell>
        </row>
        <row r="149">
          <cell r="F149">
            <v>12821</v>
          </cell>
        </row>
        <row r="150">
          <cell r="F150">
            <v>0</v>
          </cell>
        </row>
        <row r="151">
          <cell r="F151">
            <v>0</v>
          </cell>
        </row>
        <row r="152">
          <cell r="F152">
            <v>114885</v>
          </cell>
        </row>
        <row r="153">
          <cell r="F153">
            <v>12013</v>
          </cell>
        </row>
        <row r="154">
          <cell r="F154">
            <v>125620</v>
          </cell>
        </row>
        <row r="155">
          <cell r="F155">
            <v>885</v>
          </cell>
        </row>
        <row r="156">
          <cell r="F156">
            <v>2695</v>
          </cell>
        </row>
        <row r="157">
          <cell r="F157">
            <v>6584</v>
          </cell>
        </row>
        <row r="158">
          <cell r="F158">
            <v>5285</v>
          </cell>
        </row>
        <row r="159">
          <cell r="F159">
            <v>25833</v>
          </cell>
        </row>
        <row r="160">
          <cell r="F160">
            <v>3066</v>
          </cell>
        </row>
        <row r="161">
          <cell r="F161">
            <v>1088</v>
          </cell>
        </row>
        <row r="162">
          <cell r="F162">
            <v>900</v>
          </cell>
        </row>
        <row r="163">
          <cell r="F163">
            <v>78298</v>
          </cell>
        </row>
        <row r="164">
          <cell r="F164">
            <v>0</v>
          </cell>
        </row>
        <row r="165">
          <cell r="F165">
            <v>0</v>
          </cell>
        </row>
        <row r="166">
          <cell r="F166">
            <v>17145</v>
          </cell>
        </row>
        <row r="167">
          <cell r="F167">
            <v>108309</v>
          </cell>
        </row>
        <row r="168">
          <cell r="F168">
            <v>36056</v>
          </cell>
        </row>
        <row r="169">
          <cell r="F169">
            <v>5370</v>
          </cell>
        </row>
        <row r="170">
          <cell r="F170">
            <v>7263</v>
          </cell>
        </row>
        <row r="171">
          <cell r="F171">
            <v>12688</v>
          </cell>
        </row>
        <row r="172">
          <cell r="F172">
            <v>1651</v>
          </cell>
        </row>
        <row r="173">
          <cell r="F173">
            <v>129787</v>
          </cell>
        </row>
        <row r="174">
          <cell r="F174">
            <v>183</v>
          </cell>
        </row>
        <row r="175">
          <cell r="F175">
            <v>50105</v>
          </cell>
        </row>
        <row r="176">
          <cell r="F176">
            <v>68962</v>
          </cell>
        </row>
        <row r="177">
          <cell r="F177">
            <v>193651</v>
          </cell>
        </row>
        <row r="178">
          <cell r="F178">
            <v>6011</v>
          </cell>
        </row>
        <row r="179">
          <cell r="F179">
            <v>78412</v>
          </cell>
        </row>
        <row r="180">
          <cell r="F180">
            <v>2972</v>
          </cell>
        </row>
        <row r="181">
          <cell r="F181">
            <v>12610</v>
          </cell>
        </row>
        <row r="182">
          <cell r="F182">
            <v>42176</v>
          </cell>
        </row>
        <row r="183">
          <cell r="F183">
            <v>7428</v>
          </cell>
        </row>
        <row r="184">
          <cell r="F184">
            <v>50313</v>
          </cell>
        </row>
        <row r="185">
          <cell r="F185">
            <v>67036</v>
          </cell>
        </row>
        <row r="186">
          <cell r="F186">
            <v>59248</v>
          </cell>
        </row>
        <row r="187">
          <cell r="F187">
            <v>14448</v>
          </cell>
        </row>
        <row r="188">
          <cell r="F188">
            <v>22846</v>
          </cell>
        </row>
        <row r="189">
          <cell r="F189">
            <v>7744</v>
          </cell>
        </row>
        <row r="190">
          <cell r="F190">
            <v>43653</v>
          </cell>
        </row>
        <row r="191">
          <cell r="F191">
            <v>22940</v>
          </cell>
        </row>
        <row r="192">
          <cell r="F192">
            <v>217664</v>
          </cell>
        </row>
        <row r="193">
          <cell r="F193">
            <v>83705</v>
          </cell>
        </row>
        <row r="194">
          <cell r="F194">
            <v>9613</v>
          </cell>
        </row>
        <row r="195">
          <cell r="F195">
            <v>0</v>
          </cell>
        </row>
        <row r="196">
          <cell r="F196">
            <v>85605</v>
          </cell>
        </row>
        <row r="197">
          <cell r="F197">
            <v>0</v>
          </cell>
        </row>
        <row r="198">
          <cell r="F198">
            <v>940</v>
          </cell>
        </row>
        <row r="199">
          <cell r="F199">
            <v>0</v>
          </cell>
        </row>
        <row r="200">
          <cell r="F200">
            <v>38390</v>
          </cell>
        </row>
        <row r="201">
          <cell r="F201">
            <v>12645</v>
          </cell>
        </row>
        <row r="202">
          <cell r="F202">
            <v>466</v>
          </cell>
        </row>
        <row r="203">
          <cell r="F203">
            <v>656</v>
          </cell>
        </row>
        <row r="204">
          <cell r="F204">
            <v>976</v>
          </cell>
        </row>
        <row r="205">
          <cell r="F205">
            <v>6430</v>
          </cell>
        </row>
        <row r="206">
          <cell r="F206">
            <v>14914</v>
          </cell>
        </row>
        <row r="207">
          <cell r="F207">
            <v>3022</v>
          </cell>
        </row>
        <row r="208">
          <cell r="F208">
            <v>1769</v>
          </cell>
        </row>
        <row r="209">
          <cell r="F209">
            <v>5114</v>
          </cell>
        </row>
        <row r="210">
          <cell r="F210">
            <v>519</v>
          </cell>
        </row>
        <row r="211">
          <cell r="F211">
            <v>1620</v>
          </cell>
        </row>
        <row r="212">
          <cell r="F212">
            <v>7137</v>
          </cell>
        </row>
        <row r="213">
          <cell r="F213">
            <v>334</v>
          </cell>
        </row>
        <row r="214">
          <cell r="F214">
            <v>418</v>
          </cell>
        </row>
        <row r="215">
          <cell r="F215">
            <v>2041</v>
          </cell>
        </row>
        <row r="216">
          <cell r="F216">
            <v>3774184</v>
          </cell>
        </row>
        <row r="217">
          <cell r="F217">
            <v>16003432</v>
          </cell>
        </row>
      </sheetData>
      <sheetData sheetId="1">
        <row r="1">
          <cell r="F1" t="str">
            <v>Preliminar</v>
          </cell>
        </row>
        <row r="3">
          <cell r="F3">
            <v>2382614</v>
          </cell>
        </row>
        <row r="4">
          <cell r="F4">
            <v>0</v>
          </cell>
        </row>
        <row r="5">
          <cell r="F5">
            <v>35854</v>
          </cell>
        </row>
        <row r="6">
          <cell r="F6">
            <v>3081</v>
          </cell>
        </row>
        <row r="7">
          <cell r="F7">
            <v>98604</v>
          </cell>
        </row>
        <row r="8">
          <cell r="F8">
            <v>165590</v>
          </cell>
        </row>
        <row r="9">
          <cell r="F9">
            <v>42948</v>
          </cell>
        </row>
        <row r="10">
          <cell r="F10">
            <v>107253</v>
          </cell>
        </row>
        <row r="11">
          <cell r="F11">
            <v>583840</v>
          </cell>
        </row>
        <row r="12">
          <cell r="F12">
            <v>377755</v>
          </cell>
        </row>
        <row r="13">
          <cell r="F13">
            <v>261123</v>
          </cell>
        </row>
        <row r="14">
          <cell r="F14">
            <v>87438</v>
          </cell>
        </row>
        <row r="15">
          <cell r="F15">
            <v>200177</v>
          </cell>
        </row>
        <row r="16">
          <cell r="F16">
            <v>158529</v>
          </cell>
        </row>
        <row r="17">
          <cell r="F17">
            <v>1200</v>
          </cell>
        </row>
        <row r="18">
          <cell r="F18">
            <v>32</v>
          </cell>
        </row>
        <row r="19">
          <cell r="F19">
            <v>169226</v>
          </cell>
        </row>
        <row r="20">
          <cell r="F20">
            <v>178</v>
          </cell>
        </row>
        <row r="21">
          <cell r="F21">
            <v>375</v>
          </cell>
        </row>
        <row r="22">
          <cell r="F22">
            <v>26</v>
          </cell>
        </row>
        <row r="23">
          <cell r="F23">
            <v>229</v>
          </cell>
        </row>
        <row r="24">
          <cell r="F24">
            <v>55</v>
          </cell>
        </row>
        <row r="25">
          <cell r="F25">
            <v>22325</v>
          </cell>
        </row>
        <row r="26">
          <cell r="F26">
            <v>105319</v>
          </cell>
        </row>
        <row r="27">
          <cell r="F27">
            <v>0</v>
          </cell>
        </row>
        <row r="28">
          <cell r="F28">
            <v>14886</v>
          </cell>
        </row>
        <row r="29">
          <cell r="F29">
            <v>36856</v>
          </cell>
        </row>
        <row r="30">
          <cell r="F30">
            <v>540</v>
          </cell>
        </row>
        <row r="31">
          <cell r="F31">
            <v>109072</v>
          </cell>
        </row>
        <row r="32">
          <cell r="F32">
            <v>15784</v>
          </cell>
        </row>
        <row r="33">
          <cell r="F33">
            <v>4381</v>
          </cell>
        </row>
        <row r="34">
          <cell r="F34">
            <v>4985290</v>
          </cell>
        </row>
        <row r="36">
          <cell r="F36">
            <v>23550</v>
          </cell>
        </row>
        <row r="37">
          <cell r="F37">
            <v>3408</v>
          </cell>
        </row>
        <row r="38">
          <cell r="F38">
            <v>6813</v>
          </cell>
        </row>
        <row r="39">
          <cell r="F39">
            <v>10326</v>
          </cell>
        </row>
        <row r="40">
          <cell r="F40">
            <v>977</v>
          </cell>
        </row>
        <row r="41">
          <cell r="F41">
            <v>34309</v>
          </cell>
        </row>
        <row r="42">
          <cell r="F42">
            <v>279359</v>
          </cell>
        </row>
        <row r="43">
          <cell r="F43">
            <v>58635</v>
          </cell>
        </row>
        <row r="44">
          <cell r="F44">
            <v>3406</v>
          </cell>
        </row>
        <row r="45">
          <cell r="F45">
            <v>758412</v>
          </cell>
        </row>
        <row r="46">
          <cell r="F46">
            <v>1179195</v>
          </cell>
        </row>
        <row r="48">
          <cell r="F48">
            <v>0</v>
          </cell>
        </row>
        <row r="50">
          <cell r="F50">
            <v>0</v>
          </cell>
        </row>
        <row r="52">
          <cell r="F52">
            <v>32223</v>
          </cell>
        </row>
        <row r="53">
          <cell r="F53">
            <v>170509</v>
          </cell>
        </row>
        <row r="54">
          <cell r="F54">
            <v>15386</v>
          </cell>
        </row>
        <row r="55">
          <cell r="F55">
            <v>67211</v>
          </cell>
        </row>
        <row r="56">
          <cell r="F56">
            <v>9809</v>
          </cell>
        </row>
        <row r="57">
          <cell r="F57">
            <v>44468</v>
          </cell>
        </row>
        <row r="58">
          <cell r="F58">
            <v>68638</v>
          </cell>
        </row>
        <row r="59">
          <cell r="F59">
            <v>2654</v>
          </cell>
        </row>
        <row r="60">
          <cell r="F60">
            <v>952</v>
          </cell>
        </row>
        <row r="61">
          <cell r="F61">
            <v>75171</v>
          </cell>
        </row>
        <row r="62">
          <cell r="F62">
            <v>3441</v>
          </cell>
        </row>
        <row r="63">
          <cell r="F63">
            <v>6725</v>
          </cell>
        </row>
        <row r="64">
          <cell r="F64">
            <v>2387</v>
          </cell>
        </row>
        <row r="65">
          <cell r="F65">
            <v>59987</v>
          </cell>
        </row>
        <row r="66">
          <cell r="F66">
            <v>33090</v>
          </cell>
        </row>
        <row r="67">
          <cell r="F67">
            <v>20400</v>
          </cell>
        </row>
        <row r="68">
          <cell r="F68">
            <v>53204</v>
          </cell>
        </row>
        <row r="69">
          <cell r="F69">
            <v>9404</v>
          </cell>
        </row>
        <row r="70">
          <cell r="F70">
            <v>50443</v>
          </cell>
        </row>
        <row r="71">
          <cell r="F71">
            <v>37509</v>
          </cell>
        </row>
        <row r="72">
          <cell r="F72">
            <v>17747</v>
          </cell>
        </row>
        <row r="73">
          <cell r="F73">
            <v>18009</v>
          </cell>
        </row>
        <row r="74">
          <cell r="F74">
            <v>15433</v>
          </cell>
        </row>
        <row r="75">
          <cell r="F75">
            <v>23306</v>
          </cell>
        </row>
        <row r="76">
          <cell r="F76">
            <v>3063861</v>
          </cell>
        </row>
        <row r="77">
          <cell r="F77">
            <v>129426</v>
          </cell>
        </row>
        <row r="78">
          <cell r="F78">
            <v>8923</v>
          </cell>
        </row>
        <row r="79">
          <cell r="F79">
            <v>10128</v>
          </cell>
        </row>
        <row r="80">
          <cell r="F80">
            <v>1190</v>
          </cell>
        </row>
        <row r="81">
          <cell r="F81">
            <v>38147</v>
          </cell>
        </row>
        <row r="82">
          <cell r="F82">
            <v>39364</v>
          </cell>
        </row>
        <row r="83">
          <cell r="F83">
            <v>21867</v>
          </cell>
        </row>
        <row r="84">
          <cell r="F84">
            <v>60891</v>
          </cell>
        </row>
        <row r="85">
          <cell r="F85">
            <v>8907</v>
          </cell>
        </row>
        <row r="86">
          <cell r="F86">
            <v>706</v>
          </cell>
        </row>
        <row r="87">
          <cell r="F87">
            <v>119890</v>
          </cell>
        </row>
        <row r="88">
          <cell r="F88">
            <v>61792</v>
          </cell>
        </row>
        <row r="89">
          <cell r="F89">
            <v>9618</v>
          </cell>
        </row>
        <row r="90">
          <cell r="F90">
            <v>1561</v>
          </cell>
        </row>
        <row r="91">
          <cell r="F91">
            <v>32268</v>
          </cell>
        </row>
        <row r="92">
          <cell r="F92">
            <v>3618</v>
          </cell>
        </row>
        <row r="93">
          <cell r="F93">
            <v>736926</v>
          </cell>
        </row>
        <row r="94">
          <cell r="F94">
            <v>67715</v>
          </cell>
        </row>
        <row r="95">
          <cell r="F95">
            <v>6777</v>
          </cell>
        </row>
        <row r="96">
          <cell r="F96">
            <v>5509</v>
          </cell>
        </row>
        <row r="97">
          <cell r="F97">
            <v>16656</v>
          </cell>
        </row>
        <row r="98">
          <cell r="F98">
            <v>65260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2143</v>
          </cell>
        </row>
        <row r="102">
          <cell r="F102">
            <v>3782</v>
          </cell>
        </row>
        <row r="103">
          <cell r="F103">
            <v>3600</v>
          </cell>
        </row>
        <row r="104">
          <cell r="F104">
            <v>32198</v>
          </cell>
        </row>
        <row r="105">
          <cell r="F105">
            <v>5390829</v>
          </cell>
        </row>
        <row r="107">
          <cell r="F107">
            <v>6751</v>
          </cell>
        </row>
        <row r="108">
          <cell r="F108">
            <v>54599</v>
          </cell>
        </row>
        <row r="109">
          <cell r="F109">
            <v>951</v>
          </cell>
        </row>
        <row r="110">
          <cell r="F110">
            <v>10031</v>
          </cell>
        </row>
        <row r="111">
          <cell r="F111">
            <v>3540</v>
          </cell>
        </row>
        <row r="112">
          <cell r="F112">
            <v>572</v>
          </cell>
        </row>
        <row r="113">
          <cell r="F113">
            <v>7775</v>
          </cell>
        </row>
        <row r="114">
          <cell r="F114">
            <v>0</v>
          </cell>
        </row>
        <row r="115">
          <cell r="F115">
            <v>33351</v>
          </cell>
        </row>
        <row r="116">
          <cell r="F116">
            <v>5291</v>
          </cell>
        </row>
        <row r="117">
          <cell r="F117">
            <v>-200000</v>
          </cell>
        </row>
        <row r="118">
          <cell r="F118">
            <v>224730</v>
          </cell>
        </row>
        <row r="119">
          <cell r="F119">
            <v>302</v>
          </cell>
        </row>
        <row r="120">
          <cell r="F120">
            <v>217644</v>
          </cell>
        </row>
        <row r="121">
          <cell r="F121">
            <v>308397</v>
          </cell>
        </row>
        <row r="122">
          <cell r="F122">
            <v>0</v>
          </cell>
        </row>
        <row r="123">
          <cell r="F123">
            <v>673934</v>
          </cell>
        </row>
        <row r="125">
          <cell r="F125">
            <v>222258</v>
          </cell>
        </row>
        <row r="126">
          <cell r="F126">
            <v>24979</v>
          </cell>
        </row>
        <row r="127">
          <cell r="F127">
            <v>203091</v>
          </cell>
        </row>
        <row r="128">
          <cell r="F128">
            <v>144344</v>
          </cell>
        </row>
        <row r="129">
          <cell r="F129">
            <v>70559</v>
          </cell>
        </row>
        <row r="130">
          <cell r="F130">
            <v>75946</v>
          </cell>
        </row>
        <row r="131">
          <cell r="F131">
            <v>16790</v>
          </cell>
        </row>
        <row r="132">
          <cell r="F132">
            <v>6104</v>
          </cell>
        </row>
        <row r="133">
          <cell r="F133">
            <v>19002</v>
          </cell>
        </row>
        <row r="134">
          <cell r="F134">
            <v>70</v>
          </cell>
        </row>
        <row r="135">
          <cell r="F135">
            <v>0</v>
          </cell>
        </row>
        <row r="136">
          <cell r="F136">
            <v>121</v>
          </cell>
        </row>
        <row r="137">
          <cell r="F137">
            <v>120926</v>
          </cell>
        </row>
        <row r="138">
          <cell r="F138">
            <v>14327</v>
          </cell>
        </row>
        <row r="139">
          <cell r="F139">
            <v>369481</v>
          </cell>
        </row>
        <row r="140">
          <cell r="F140">
            <v>24140</v>
          </cell>
        </row>
        <row r="141">
          <cell r="F141">
            <v>64949</v>
          </cell>
        </row>
        <row r="142">
          <cell r="F142">
            <v>62943</v>
          </cell>
        </row>
        <row r="143">
          <cell r="F143">
            <v>121960</v>
          </cell>
        </row>
        <row r="144">
          <cell r="F144">
            <v>69450</v>
          </cell>
        </row>
        <row r="145">
          <cell r="F145">
            <v>1100</v>
          </cell>
        </row>
        <row r="146">
          <cell r="F146">
            <v>23740</v>
          </cell>
        </row>
        <row r="147">
          <cell r="F147">
            <v>164946</v>
          </cell>
        </row>
        <row r="148">
          <cell r="F148">
            <v>12821</v>
          </cell>
        </row>
        <row r="149">
          <cell r="F149">
            <v>0</v>
          </cell>
        </row>
        <row r="150">
          <cell r="F150">
            <v>0</v>
          </cell>
        </row>
        <row r="151">
          <cell r="F151">
            <v>114885</v>
          </cell>
        </row>
        <row r="152">
          <cell r="F152">
            <v>12013</v>
          </cell>
        </row>
        <row r="153">
          <cell r="F153">
            <v>125620</v>
          </cell>
        </row>
        <row r="154">
          <cell r="F154">
            <v>885</v>
          </cell>
        </row>
        <row r="155">
          <cell r="F155">
            <v>2695</v>
          </cell>
        </row>
        <row r="156">
          <cell r="F156">
            <v>6584</v>
          </cell>
        </row>
        <row r="157">
          <cell r="F157">
            <v>5285</v>
          </cell>
        </row>
        <row r="158">
          <cell r="F158">
            <v>25833</v>
          </cell>
        </row>
        <row r="159">
          <cell r="F159">
            <v>3066</v>
          </cell>
        </row>
        <row r="160">
          <cell r="F160">
            <v>1088</v>
          </cell>
        </row>
        <row r="161">
          <cell r="F161">
            <v>900</v>
          </cell>
        </row>
        <row r="162">
          <cell r="F162">
            <v>78298</v>
          </cell>
        </row>
        <row r="163">
          <cell r="F163">
            <v>0</v>
          </cell>
        </row>
        <row r="164">
          <cell r="F164">
            <v>0</v>
          </cell>
        </row>
        <row r="165">
          <cell r="F165">
            <v>17145</v>
          </cell>
        </row>
        <row r="166">
          <cell r="F166">
            <v>108309</v>
          </cell>
        </row>
        <row r="167">
          <cell r="F167">
            <v>36056</v>
          </cell>
        </row>
        <row r="168">
          <cell r="F168">
            <v>5370</v>
          </cell>
        </row>
        <row r="169">
          <cell r="F169">
            <v>7263</v>
          </cell>
        </row>
        <row r="170">
          <cell r="F170">
            <v>12688</v>
          </cell>
        </row>
        <row r="171">
          <cell r="F171">
            <v>1651</v>
          </cell>
        </row>
        <row r="172">
          <cell r="F172">
            <v>129787</v>
          </cell>
        </row>
        <row r="173">
          <cell r="F173">
            <v>183</v>
          </cell>
        </row>
        <row r="174">
          <cell r="F174">
            <v>50105</v>
          </cell>
        </row>
        <row r="175">
          <cell r="F175">
            <v>68962</v>
          </cell>
        </row>
        <row r="176">
          <cell r="F176">
            <v>193651</v>
          </cell>
        </row>
        <row r="177">
          <cell r="F177">
            <v>6011</v>
          </cell>
        </row>
        <row r="178">
          <cell r="F178">
            <v>78412</v>
          </cell>
        </row>
        <row r="179">
          <cell r="F179">
            <v>2972</v>
          </cell>
        </row>
        <row r="180">
          <cell r="F180">
            <v>12610</v>
          </cell>
        </row>
        <row r="181">
          <cell r="F181">
            <v>42176</v>
          </cell>
        </row>
        <row r="182">
          <cell r="F182">
            <v>7428</v>
          </cell>
        </row>
        <row r="183">
          <cell r="F183">
            <v>50313</v>
          </cell>
        </row>
        <row r="184">
          <cell r="F184">
            <v>67036</v>
          </cell>
        </row>
        <row r="185">
          <cell r="F185">
            <v>59248</v>
          </cell>
        </row>
        <row r="186">
          <cell r="F186">
            <v>14448</v>
          </cell>
        </row>
        <row r="187">
          <cell r="F187">
            <v>22846</v>
          </cell>
        </row>
        <row r="188">
          <cell r="F188">
            <v>7744</v>
          </cell>
        </row>
        <row r="189">
          <cell r="F189">
            <v>43653</v>
          </cell>
        </row>
        <row r="190">
          <cell r="F190">
            <v>22940</v>
          </cell>
        </row>
        <row r="191">
          <cell r="F191">
            <v>217664</v>
          </cell>
        </row>
        <row r="192">
          <cell r="F192">
            <v>83705</v>
          </cell>
        </row>
        <row r="193">
          <cell r="F193">
            <v>9613</v>
          </cell>
        </row>
        <row r="194">
          <cell r="F194">
            <v>0</v>
          </cell>
        </row>
        <row r="195">
          <cell r="F195">
            <v>85605</v>
          </cell>
        </row>
        <row r="196">
          <cell r="F196">
            <v>0</v>
          </cell>
        </row>
        <row r="197">
          <cell r="F197">
            <v>940</v>
          </cell>
        </row>
        <row r="198">
          <cell r="F198">
            <v>0</v>
          </cell>
        </row>
        <row r="199">
          <cell r="F199">
            <v>38390</v>
          </cell>
        </row>
        <row r="200">
          <cell r="F200">
            <v>12645</v>
          </cell>
        </row>
        <row r="201">
          <cell r="F201">
            <v>466</v>
          </cell>
        </row>
        <row r="202">
          <cell r="F202">
            <v>656</v>
          </cell>
        </row>
        <row r="203">
          <cell r="F203">
            <v>976</v>
          </cell>
        </row>
        <row r="204">
          <cell r="F204">
            <v>6430</v>
          </cell>
        </row>
        <row r="205">
          <cell r="F205">
            <v>14914</v>
          </cell>
        </row>
        <row r="206">
          <cell r="F206">
            <v>3022</v>
          </cell>
        </row>
        <row r="207">
          <cell r="F207">
            <v>1769</v>
          </cell>
        </row>
        <row r="208">
          <cell r="F208">
            <v>5114</v>
          </cell>
        </row>
        <row r="209">
          <cell r="F209">
            <v>519</v>
          </cell>
        </row>
        <row r="210">
          <cell r="F210">
            <v>1620</v>
          </cell>
        </row>
        <row r="211">
          <cell r="F211">
            <v>7137</v>
          </cell>
        </row>
        <row r="212">
          <cell r="F212">
            <v>334</v>
          </cell>
        </row>
        <row r="213">
          <cell r="F213">
            <v>418</v>
          </cell>
        </row>
        <row r="214">
          <cell r="F214">
            <v>2041</v>
          </cell>
        </row>
        <row r="215">
          <cell r="F215">
            <v>3774184</v>
          </cell>
        </row>
        <row r="216">
          <cell r="F216">
            <v>16003432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Options"/>
      <sheetName val="LC"/>
      <sheetName val="FX"/>
      <sheetName val="Days"/>
      <sheetName val="P10"/>
      <sheetName val="P10A"/>
      <sheetName val="P10B"/>
      <sheetName val="P10C"/>
      <sheetName val="P10D"/>
      <sheetName val="P11"/>
      <sheetName val="P11A"/>
      <sheetName val="P11B"/>
      <sheetName val="P11C"/>
      <sheetName val="P11D"/>
    </sheetNames>
    <sheetDataSet>
      <sheetData sheetId="0" refreshError="1"/>
      <sheetData sheetId="1" refreshError="1"/>
      <sheetData sheetId="2" refreshError="1">
        <row r="1">
          <cell r="B1">
            <v>1000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ample Data"/>
      <sheetName val="CMA_Calculations"/>
      <sheetName val="CMA_Selections"/>
      <sheetName val="XREF"/>
      <sheetName val="Tickmarks"/>
      <sheetName val="CMA_SampleDesign"/>
      <sheetName val="DialogInser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8119-9AED-4707-87CB-39BCCB58F514}">
  <dimension ref="A1:U196"/>
  <sheetViews>
    <sheetView showGridLines="0" tabSelected="1" zoomScale="80" zoomScaleNormal="80" workbookViewId="0"/>
  </sheetViews>
  <sheetFormatPr baseColWidth="10" defaultRowHeight="12.5" x14ac:dyDescent="0.25"/>
  <cols>
    <col min="1" max="1" width="5.1796875" style="3" customWidth="1"/>
    <col min="2" max="2" width="10.90625" style="3"/>
    <col min="3" max="3" width="14.08984375" style="3" customWidth="1"/>
    <col min="4" max="4" width="12.90625" style="3" bestFit="1" customWidth="1"/>
    <col min="5" max="5" width="13.81640625" style="3" customWidth="1"/>
    <col min="6" max="13" width="10.90625" style="3"/>
    <col min="14" max="14" width="17.453125" style="3" customWidth="1"/>
    <col min="15" max="15" width="16" style="3" customWidth="1"/>
    <col min="16" max="18" width="10.90625" style="3"/>
    <col min="19" max="19" width="18.81640625" style="3" customWidth="1"/>
    <col min="20" max="20" width="16.453125" style="3" customWidth="1"/>
    <col min="21" max="16384" width="10.90625" style="3"/>
  </cols>
  <sheetData>
    <row r="1" spans="2:21" x14ac:dyDescent="0.25">
      <c r="C1" s="23"/>
    </row>
    <row r="2" spans="2:21" x14ac:dyDescent="0.25">
      <c r="C2" s="23"/>
    </row>
    <row r="3" spans="2:21" x14ac:dyDescent="0.25">
      <c r="C3" s="23"/>
    </row>
    <row r="4" spans="2:21" x14ac:dyDescent="0.25">
      <c r="C4" s="23"/>
    </row>
    <row r="5" spans="2:21" x14ac:dyDescent="0.25">
      <c r="C5" s="23"/>
    </row>
    <row r="6" spans="2:21" ht="13" customHeight="1" x14ac:dyDescent="0.25">
      <c r="B6" s="8" t="s">
        <v>25</v>
      </c>
      <c r="C6" s="23"/>
      <c r="S6" s="12" t="s">
        <v>28</v>
      </c>
      <c r="T6" s="12" t="s">
        <v>0</v>
      </c>
      <c r="U6" s="4" t="s">
        <v>29</v>
      </c>
    </row>
    <row r="7" spans="2:21" x14ac:dyDescent="0.25">
      <c r="B7" s="25" t="s">
        <v>40</v>
      </c>
      <c r="C7" s="23"/>
      <c r="S7" s="13" t="s">
        <v>20</v>
      </c>
      <c r="T7" s="13" t="s">
        <v>20</v>
      </c>
      <c r="U7" s="14" t="s">
        <v>39</v>
      </c>
    </row>
    <row r="8" spans="2:21" x14ac:dyDescent="0.25">
      <c r="B8" s="9" t="s">
        <v>26</v>
      </c>
      <c r="C8" s="23"/>
    </row>
    <row r="9" spans="2:21" x14ac:dyDescent="0.25">
      <c r="B9" s="10" t="s">
        <v>27</v>
      </c>
      <c r="C9" s="23"/>
    </row>
    <row r="10" spans="2:21" ht="5" customHeight="1" thickBot="1" x14ac:dyDescent="0.3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ht="13" thickTop="1" x14ac:dyDescent="0.25"/>
    <row r="12" spans="2:21" x14ac:dyDescent="0.25">
      <c r="B12" s="7" t="s">
        <v>1</v>
      </c>
    </row>
    <row r="13" spans="2:21" ht="7" customHeight="1" x14ac:dyDescent="0.25"/>
    <row r="14" spans="2:21" s="40" customFormat="1" x14ac:dyDescent="0.25">
      <c r="B14" s="40" t="s">
        <v>79</v>
      </c>
    </row>
    <row r="16" spans="2:21" x14ac:dyDescent="0.25">
      <c r="B16" s="7" t="s">
        <v>80</v>
      </c>
    </row>
    <row r="17" spans="1:21" ht="7" customHeight="1" x14ac:dyDescent="0.25">
      <c r="B17" s="7"/>
    </row>
    <row r="18" spans="1:21" x14ac:dyDescent="0.25">
      <c r="A18" s="24" t="s">
        <v>21</v>
      </c>
      <c r="B18" s="3" t="s">
        <v>42</v>
      </c>
    </row>
    <row r="19" spans="1:21" x14ac:dyDescent="0.25">
      <c r="A19" s="24" t="s">
        <v>22</v>
      </c>
      <c r="B19" s="40" t="s">
        <v>69</v>
      </c>
      <c r="C19" s="40"/>
      <c r="D19" s="40"/>
    </row>
    <row r="20" spans="1:21" x14ac:dyDescent="0.25">
      <c r="A20" s="24" t="s">
        <v>23</v>
      </c>
      <c r="B20" s="3" t="s">
        <v>70</v>
      </c>
      <c r="H20" s="40"/>
    </row>
    <row r="21" spans="1:21" x14ac:dyDescent="0.25">
      <c r="A21" s="24" t="s">
        <v>24</v>
      </c>
      <c r="B21" s="3" t="s">
        <v>41</v>
      </c>
    </row>
    <row r="22" spans="1:21" x14ac:dyDescent="0.25">
      <c r="A22" s="24" t="s">
        <v>31</v>
      </c>
      <c r="B22" s="3" t="s">
        <v>81</v>
      </c>
    </row>
    <row r="24" spans="1:21" x14ac:dyDescent="0.25">
      <c r="B24" s="7" t="s">
        <v>43</v>
      </c>
    </row>
    <row r="25" spans="1:21" x14ac:dyDescent="0.25">
      <c r="B25" s="7"/>
    </row>
    <row r="26" spans="1:21" x14ac:dyDescent="0.25">
      <c r="B26" s="7"/>
    </row>
    <row r="27" spans="1:21" x14ac:dyDescent="0.25">
      <c r="B27" s="32" t="s">
        <v>52</v>
      </c>
    </row>
    <row r="30" spans="1:21" ht="25" customHeight="1" x14ac:dyDescent="0.25">
      <c r="B30" s="4" t="s">
        <v>56</v>
      </c>
      <c r="C30" s="4" t="s">
        <v>50</v>
      </c>
      <c r="D30" s="4" t="s">
        <v>51</v>
      </c>
      <c r="E30" s="4" t="s">
        <v>44</v>
      </c>
      <c r="O30" s="44" t="s">
        <v>68</v>
      </c>
      <c r="P30" s="45"/>
      <c r="Q30" s="45"/>
      <c r="R30" s="45"/>
      <c r="S30" s="45"/>
      <c r="T30" s="45"/>
      <c r="U30" s="46"/>
    </row>
    <row r="31" spans="1:21" ht="12.5" customHeight="1" x14ac:dyDescent="0.25">
      <c r="B31" s="28" t="s">
        <v>45</v>
      </c>
      <c r="C31" s="29"/>
      <c r="D31" s="29"/>
      <c r="E31" s="29">
        <f>+D31-C31</f>
        <v>0</v>
      </c>
      <c r="O31" s="43" t="s">
        <v>73</v>
      </c>
      <c r="P31" s="43"/>
      <c r="Q31" s="43"/>
      <c r="R31" s="43"/>
      <c r="S31" s="43"/>
      <c r="T31" s="43"/>
      <c r="U31" s="43"/>
    </row>
    <row r="32" spans="1:21" ht="12.5" customHeight="1" x14ac:dyDescent="0.25">
      <c r="B32" s="28" t="s">
        <v>46</v>
      </c>
      <c r="C32" s="29"/>
      <c r="D32" s="29"/>
      <c r="E32" s="29">
        <f t="shared" ref="E32:E42" si="0">+D32-C32</f>
        <v>0</v>
      </c>
      <c r="O32" s="43"/>
      <c r="P32" s="43"/>
      <c r="Q32" s="43"/>
      <c r="R32" s="43"/>
      <c r="S32" s="43"/>
      <c r="T32" s="43"/>
      <c r="U32" s="43"/>
    </row>
    <row r="33" spans="2:21" ht="12.5" customHeight="1" x14ac:dyDescent="0.25">
      <c r="B33" s="28" t="s">
        <v>2</v>
      </c>
      <c r="C33" s="29"/>
      <c r="D33" s="29"/>
      <c r="E33" s="29">
        <f t="shared" si="0"/>
        <v>0</v>
      </c>
      <c r="O33" s="43"/>
      <c r="P33" s="43"/>
      <c r="Q33" s="43"/>
      <c r="R33" s="43"/>
      <c r="S33" s="43"/>
      <c r="T33" s="43"/>
      <c r="U33" s="43"/>
    </row>
    <row r="34" spans="2:21" ht="12.5" customHeight="1" x14ac:dyDescent="0.25">
      <c r="B34" s="28" t="s">
        <v>3</v>
      </c>
      <c r="C34" s="29"/>
      <c r="D34" s="29"/>
      <c r="E34" s="29">
        <f t="shared" si="0"/>
        <v>0</v>
      </c>
      <c r="O34" s="43"/>
      <c r="P34" s="43"/>
      <c r="Q34" s="43"/>
      <c r="R34" s="43"/>
      <c r="S34" s="43"/>
      <c r="T34" s="43"/>
      <c r="U34" s="43"/>
    </row>
    <row r="35" spans="2:21" ht="12.5" customHeight="1" x14ac:dyDescent="0.25">
      <c r="B35" s="28" t="s">
        <v>4</v>
      </c>
      <c r="C35" s="29"/>
      <c r="D35" s="29"/>
      <c r="E35" s="29">
        <f t="shared" si="0"/>
        <v>0</v>
      </c>
      <c r="O35" s="43"/>
      <c r="P35" s="43"/>
      <c r="Q35" s="43"/>
      <c r="R35" s="43"/>
      <c r="S35" s="43"/>
      <c r="T35" s="43"/>
      <c r="U35" s="43"/>
    </row>
    <row r="36" spans="2:21" ht="12.5" customHeight="1" x14ac:dyDescent="0.25">
      <c r="B36" s="28" t="s">
        <v>5</v>
      </c>
      <c r="C36" s="29"/>
      <c r="D36" s="29"/>
      <c r="E36" s="29">
        <f t="shared" si="0"/>
        <v>0</v>
      </c>
      <c r="F36"/>
      <c r="G36"/>
      <c r="H36"/>
      <c r="O36" s="43"/>
      <c r="P36" s="43"/>
      <c r="Q36" s="43"/>
      <c r="R36" s="43"/>
      <c r="S36" s="43"/>
      <c r="T36" s="43"/>
      <c r="U36" s="43"/>
    </row>
    <row r="37" spans="2:21" ht="12.5" customHeight="1" x14ac:dyDescent="0.25">
      <c r="B37" s="28" t="s">
        <v>6</v>
      </c>
      <c r="C37" s="29"/>
      <c r="D37" s="29"/>
      <c r="E37" s="29">
        <f t="shared" si="0"/>
        <v>0</v>
      </c>
      <c r="O37" s="43"/>
      <c r="P37" s="43"/>
      <c r="Q37" s="43"/>
      <c r="R37" s="43"/>
      <c r="S37" s="43"/>
      <c r="T37" s="43"/>
      <c r="U37" s="43"/>
    </row>
    <row r="38" spans="2:21" ht="12.5" customHeight="1" x14ac:dyDescent="0.25">
      <c r="B38" s="28" t="s">
        <v>7</v>
      </c>
      <c r="C38" s="29"/>
      <c r="D38" s="29"/>
      <c r="E38" s="29">
        <f t="shared" si="0"/>
        <v>0</v>
      </c>
      <c r="O38" s="43"/>
      <c r="P38" s="43"/>
      <c r="Q38" s="43"/>
      <c r="R38" s="43"/>
      <c r="S38" s="43"/>
      <c r="T38" s="43"/>
      <c r="U38" s="43"/>
    </row>
    <row r="39" spans="2:21" ht="12.5" customHeight="1" x14ac:dyDescent="0.25">
      <c r="B39" s="28" t="s">
        <v>8</v>
      </c>
      <c r="C39" s="29"/>
      <c r="D39" s="29"/>
      <c r="E39" s="29">
        <f t="shared" si="0"/>
        <v>0</v>
      </c>
      <c r="O39" s="43"/>
      <c r="P39" s="43"/>
      <c r="Q39" s="43"/>
      <c r="R39" s="43"/>
      <c r="S39" s="43"/>
      <c r="T39" s="43"/>
      <c r="U39" s="43"/>
    </row>
    <row r="40" spans="2:21" ht="12.5" customHeight="1" x14ac:dyDescent="0.25">
      <c r="B40" s="28" t="s">
        <v>47</v>
      </c>
      <c r="C40" s="29"/>
      <c r="D40" s="29"/>
      <c r="E40" s="29">
        <f t="shared" si="0"/>
        <v>0</v>
      </c>
      <c r="O40" s="43"/>
      <c r="P40" s="43"/>
      <c r="Q40" s="43"/>
      <c r="R40" s="43"/>
      <c r="S40" s="43"/>
      <c r="T40" s="43"/>
      <c r="U40" s="43"/>
    </row>
    <row r="41" spans="2:21" ht="13" customHeight="1" x14ac:dyDescent="0.25">
      <c r="B41" s="28" t="s">
        <v>48</v>
      </c>
      <c r="C41" s="29"/>
      <c r="D41" s="29"/>
      <c r="E41" s="29">
        <f t="shared" si="0"/>
        <v>0</v>
      </c>
      <c r="O41" s="43"/>
      <c r="P41" s="43"/>
      <c r="Q41" s="43"/>
      <c r="R41" s="43"/>
      <c r="S41" s="43"/>
      <c r="T41" s="43"/>
      <c r="U41" s="43"/>
    </row>
    <row r="42" spans="2:21" x14ac:dyDescent="0.25">
      <c r="B42" s="28" t="s">
        <v>49</v>
      </c>
      <c r="C42" s="29"/>
      <c r="D42" s="29"/>
      <c r="E42" s="29">
        <f t="shared" si="0"/>
        <v>0</v>
      </c>
      <c r="O42" s="43"/>
      <c r="P42" s="43"/>
      <c r="Q42" s="43"/>
      <c r="R42" s="43"/>
      <c r="S42" s="43"/>
      <c r="T42" s="43"/>
      <c r="U42" s="43"/>
    </row>
    <row r="43" spans="2:21" ht="7" customHeight="1" x14ac:dyDescent="0.25">
      <c r="B43" s="26"/>
      <c r="C43" s="30"/>
      <c r="D43" s="30"/>
      <c r="E43" s="30"/>
    </row>
    <row r="44" spans="2:21" ht="13" thickBot="1" x14ac:dyDescent="0.3">
      <c r="B44" s="27"/>
      <c r="C44" s="31">
        <f>+SUM(C31:C42)</f>
        <v>0</v>
      </c>
      <c r="D44" s="31">
        <f t="shared" ref="D44:E44" si="1">+SUM(D31:D42)</f>
        <v>0</v>
      </c>
      <c r="E44" s="31">
        <f t="shared" si="1"/>
        <v>0</v>
      </c>
    </row>
    <row r="45" spans="2:21" ht="13" thickTop="1" x14ac:dyDescent="0.25">
      <c r="C45" s="41" t="s">
        <v>84</v>
      </c>
      <c r="D45" s="41" t="s">
        <v>83</v>
      </c>
    </row>
    <row r="47" spans="2:21" x14ac:dyDescent="0.25">
      <c r="B47" s="32" t="s">
        <v>54</v>
      </c>
    </row>
    <row r="50" spans="2:21" ht="25" x14ac:dyDescent="0.25">
      <c r="B50" s="4" t="s">
        <v>56</v>
      </c>
      <c r="C50" s="4" t="s">
        <v>53</v>
      </c>
      <c r="D50" s="4" t="s">
        <v>51</v>
      </c>
      <c r="E50" s="4" t="s">
        <v>44</v>
      </c>
      <c r="O50" s="44" t="s">
        <v>68</v>
      </c>
      <c r="P50" s="45"/>
      <c r="Q50" s="45"/>
      <c r="R50" s="45"/>
      <c r="S50" s="45"/>
      <c r="T50" s="45"/>
      <c r="U50" s="46"/>
    </row>
    <row r="51" spans="2:21" ht="13.5" x14ac:dyDescent="0.35">
      <c r="B51" s="28" t="s">
        <v>45</v>
      </c>
      <c r="C51" s="29"/>
      <c r="D51" s="29"/>
      <c r="E51" s="33">
        <f>+D51-C51</f>
        <v>0</v>
      </c>
      <c r="O51" s="43" t="s">
        <v>74</v>
      </c>
      <c r="P51" s="43"/>
      <c r="Q51" s="43"/>
      <c r="R51" s="43"/>
      <c r="S51" s="43"/>
      <c r="T51" s="43"/>
      <c r="U51" s="43"/>
    </row>
    <row r="52" spans="2:21" ht="13.5" x14ac:dyDescent="0.35">
      <c r="B52" s="28" t="s">
        <v>46</v>
      </c>
      <c r="C52" s="29"/>
      <c r="D52" s="29"/>
      <c r="E52" s="33">
        <f t="shared" ref="E52:E62" si="2">+D52-C52</f>
        <v>0</v>
      </c>
      <c r="O52" s="43"/>
      <c r="P52" s="43"/>
      <c r="Q52" s="43"/>
      <c r="R52" s="43"/>
      <c r="S52" s="43"/>
      <c r="T52" s="43"/>
      <c r="U52" s="43"/>
    </row>
    <row r="53" spans="2:21" ht="13.5" x14ac:dyDescent="0.35">
      <c r="B53" s="28" t="s">
        <v>2</v>
      </c>
      <c r="C53" s="29"/>
      <c r="D53" s="29"/>
      <c r="E53" s="33">
        <f t="shared" si="2"/>
        <v>0</v>
      </c>
      <c r="O53" s="43"/>
      <c r="P53" s="43"/>
      <c r="Q53" s="43"/>
      <c r="R53" s="43"/>
      <c r="S53" s="43"/>
      <c r="T53" s="43"/>
      <c r="U53" s="43"/>
    </row>
    <row r="54" spans="2:21" ht="13.5" x14ac:dyDescent="0.35">
      <c r="B54" s="28" t="s">
        <v>3</v>
      </c>
      <c r="C54" s="29"/>
      <c r="D54" s="29"/>
      <c r="E54" s="33">
        <f t="shared" si="2"/>
        <v>0</v>
      </c>
      <c r="O54" s="43"/>
      <c r="P54" s="43"/>
      <c r="Q54" s="43"/>
      <c r="R54" s="43"/>
      <c r="S54" s="43"/>
      <c r="T54" s="43"/>
      <c r="U54" s="43"/>
    </row>
    <row r="55" spans="2:21" ht="13.5" x14ac:dyDescent="0.35">
      <c r="B55" s="28" t="s">
        <v>4</v>
      </c>
      <c r="C55" s="29"/>
      <c r="D55" s="29"/>
      <c r="E55" s="33">
        <f t="shared" si="2"/>
        <v>0</v>
      </c>
      <c r="O55" s="43"/>
      <c r="P55" s="43"/>
      <c r="Q55" s="43"/>
      <c r="R55" s="43"/>
      <c r="S55" s="43"/>
      <c r="T55" s="43"/>
      <c r="U55" s="43"/>
    </row>
    <row r="56" spans="2:21" ht="13.5" x14ac:dyDescent="0.35">
      <c r="B56" s="28" t="s">
        <v>5</v>
      </c>
      <c r="C56" s="29"/>
      <c r="D56" s="29"/>
      <c r="E56" s="33">
        <f t="shared" si="2"/>
        <v>0</v>
      </c>
      <c r="O56" s="43"/>
      <c r="P56" s="43"/>
      <c r="Q56" s="43"/>
      <c r="R56" s="43"/>
      <c r="S56" s="43"/>
      <c r="T56" s="43"/>
      <c r="U56" s="43"/>
    </row>
    <row r="57" spans="2:21" ht="13.5" x14ac:dyDescent="0.35">
      <c r="B57" s="28" t="s">
        <v>6</v>
      </c>
      <c r="C57" s="29"/>
      <c r="D57" s="29"/>
      <c r="E57" s="33">
        <f t="shared" si="2"/>
        <v>0</v>
      </c>
      <c r="O57" s="43"/>
      <c r="P57" s="43"/>
      <c r="Q57" s="43"/>
      <c r="R57" s="43"/>
      <c r="S57" s="43"/>
      <c r="T57" s="43"/>
      <c r="U57" s="43"/>
    </row>
    <row r="58" spans="2:21" ht="13.5" x14ac:dyDescent="0.35">
      <c r="B58" s="28" t="s">
        <v>7</v>
      </c>
      <c r="C58" s="29"/>
      <c r="D58" s="29"/>
      <c r="E58" s="33">
        <f t="shared" si="2"/>
        <v>0</v>
      </c>
      <c r="O58" s="43"/>
      <c r="P58" s="43"/>
      <c r="Q58" s="43"/>
      <c r="R58" s="43"/>
      <c r="S58" s="43"/>
      <c r="T58" s="43"/>
      <c r="U58" s="43"/>
    </row>
    <row r="59" spans="2:21" ht="13.5" x14ac:dyDescent="0.35">
      <c r="B59" s="28" t="s">
        <v>8</v>
      </c>
      <c r="C59" s="29"/>
      <c r="D59" s="29"/>
      <c r="E59" s="33">
        <f t="shared" si="2"/>
        <v>0</v>
      </c>
      <c r="O59" s="43"/>
      <c r="P59" s="43"/>
      <c r="Q59" s="43"/>
      <c r="R59" s="43"/>
      <c r="S59" s="43"/>
      <c r="T59" s="43"/>
      <c r="U59" s="43"/>
    </row>
    <row r="60" spans="2:21" ht="13.5" x14ac:dyDescent="0.35">
      <c r="B60" s="28" t="s">
        <v>47</v>
      </c>
      <c r="C60" s="29"/>
      <c r="D60" s="29"/>
      <c r="E60" s="33">
        <f t="shared" si="2"/>
        <v>0</v>
      </c>
      <c r="O60" s="43"/>
      <c r="P60" s="43"/>
      <c r="Q60" s="43"/>
      <c r="R60" s="43"/>
      <c r="S60" s="43"/>
      <c r="T60" s="43"/>
      <c r="U60" s="43"/>
    </row>
    <row r="61" spans="2:21" ht="13.5" x14ac:dyDescent="0.35">
      <c r="B61" s="28" t="s">
        <v>48</v>
      </c>
      <c r="C61" s="29"/>
      <c r="D61" s="29"/>
      <c r="E61" s="33">
        <f t="shared" si="2"/>
        <v>0</v>
      </c>
      <c r="O61" s="43"/>
      <c r="P61" s="43"/>
      <c r="Q61" s="43"/>
      <c r="R61" s="43"/>
      <c r="S61" s="43"/>
      <c r="T61" s="43"/>
      <c r="U61" s="43"/>
    </row>
    <row r="62" spans="2:21" ht="13.5" x14ac:dyDescent="0.35">
      <c r="B62" s="28" t="s">
        <v>49</v>
      </c>
      <c r="C62" s="29"/>
      <c r="D62" s="29"/>
      <c r="E62" s="33">
        <f t="shared" si="2"/>
        <v>0</v>
      </c>
      <c r="O62" s="43"/>
      <c r="P62" s="43"/>
      <c r="Q62" s="43"/>
      <c r="R62" s="43"/>
      <c r="S62" s="43"/>
      <c r="T62" s="43"/>
      <c r="U62" s="43"/>
    </row>
    <row r="63" spans="2:21" ht="7" customHeight="1" x14ac:dyDescent="0.25">
      <c r="B63" s="26"/>
      <c r="C63" s="30"/>
      <c r="D63" s="30"/>
      <c r="E63" s="30"/>
    </row>
    <row r="64" spans="2:21" ht="13" thickBot="1" x14ac:dyDescent="0.3">
      <c r="B64" s="27"/>
      <c r="C64" s="31">
        <f>+SUM(C51:C62)</f>
        <v>0</v>
      </c>
      <c r="D64" s="31">
        <f t="shared" ref="D64:E64" si="3">+SUM(D51:D62)</f>
        <v>0</v>
      </c>
      <c r="E64" s="31">
        <f t="shared" si="3"/>
        <v>0</v>
      </c>
    </row>
    <row r="65" spans="2:21" ht="13" thickTop="1" x14ac:dyDescent="0.25">
      <c r="C65" s="6"/>
      <c r="D65" s="41" t="s">
        <v>71</v>
      </c>
    </row>
    <row r="67" spans="2:21" x14ac:dyDescent="0.25">
      <c r="B67" s="32" t="s">
        <v>82</v>
      </c>
    </row>
    <row r="68" spans="2:21" x14ac:dyDescent="0.25">
      <c r="B68" s="32"/>
    </row>
    <row r="70" spans="2:21" ht="25" x14ac:dyDescent="0.25">
      <c r="B70" s="4" t="s">
        <v>56</v>
      </c>
      <c r="C70" s="4" t="s">
        <v>51</v>
      </c>
      <c r="D70" s="4" t="s">
        <v>55</v>
      </c>
      <c r="O70" s="44" t="s">
        <v>68</v>
      </c>
      <c r="P70" s="45"/>
      <c r="Q70" s="45"/>
      <c r="R70" s="45"/>
      <c r="S70" s="45"/>
      <c r="T70" s="45"/>
      <c r="U70" s="46"/>
    </row>
    <row r="71" spans="2:21" x14ac:dyDescent="0.25">
      <c r="B71" s="28" t="s">
        <v>45</v>
      </c>
      <c r="C71" s="29">
        <v>0</v>
      </c>
      <c r="D71" s="35" t="e">
        <f>+C71/$C$84</f>
        <v>#DIV/0!</v>
      </c>
      <c r="O71" s="43" t="s">
        <v>76</v>
      </c>
      <c r="P71" s="43"/>
      <c r="Q71" s="43"/>
      <c r="R71" s="43"/>
      <c r="S71" s="43"/>
      <c r="T71" s="43"/>
      <c r="U71" s="43"/>
    </row>
    <row r="72" spans="2:21" x14ac:dyDescent="0.25">
      <c r="B72" s="28" t="s">
        <v>46</v>
      </c>
      <c r="C72" s="29">
        <v>0</v>
      </c>
      <c r="D72" s="35" t="e">
        <f t="shared" ref="D72:D82" si="4">+C72/$C$84</f>
        <v>#DIV/0!</v>
      </c>
      <c r="O72" s="43"/>
      <c r="P72" s="43"/>
      <c r="Q72" s="43"/>
      <c r="R72" s="43"/>
      <c r="S72" s="43"/>
      <c r="T72" s="43"/>
      <c r="U72" s="43"/>
    </row>
    <row r="73" spans="2:21" x14ac:dyDescent="0.25">
      <c r="B73" s="28" t="s">
        <v>2</v>
      </c>
      <c r="C73" s="29">
        <v>0</v>
      </c>
      <c r="D73" s="35" t="e">
        <f t="shared" si="4"/>
        <v>#DIV/0!</v>
      </c>
      <c r="O73" s="43"/>
      <c r="P73" s="43"/>
      <c r="Q73" s="43"/>
      <c r="R73" s="43"/>
      <c r="S73" s="43"/>
      <c r="T73" s="43"/>
      <c r="U73" s="43"/>
    </row>
    <row r="74" spans="2:21" x14ac:dyDescent="0.25">
      <c r="B74" s="28" t="s">
        <v>3</v>
      </c>
      <c r="C74" s="29">
        <v>0</v>
      </c>
      <c r="D74" s="35" t="e">
        <f>+C74/$C$84</f>
        <v>#DIV/0!</v>
      </c>
      <c r="O74" s="43"/>
      <c r="P74" s="43"/>
      <c r="Q74" s="43"/>
      <c r="R74" s="43"/>
      <c r="S74" s="43"/>
      <c r="T74" s="43"/>
      <c r="U74" s="43"/>
    </row>
    <row r="75" spans="2:21" x14ac:dyDescent="0.25">
      <c r="B75" s="28" t="s">
        <v>4</v>
      </c>
      <c r="C75" s="29">
        <v>0</v>
      </c>
      <c r="D75" s="35" t="e">
        <f t="shared" si="4"/>
        <v>#DIV/0!</v>
      </c>
      <c r="O75" s="43"/>
      <c r="P75" s="43"/>
      <c r="Q75" s="43"/>
      <c r="R75" s="43"/>
      <c r="S75" s="43"/>
      <c r="T75" s="43"/>
      <c r="U75" s="43"/>
    </row>
    <row r="76" spans="2:21" x14ac:dyDescent="0.25">
      <c r="B76" s="28" t="s">
        <v>5</v>
      </c>
      <c r="C76" s="29">
        <v>0</v>
      </c>
      <c r="D76" s="35" t="e">
        <f t="shared" si="4"/>
        <v>#DIV/0!</v>
      </c>
      <c r="O76" s="43"/>
      <c r="P76" s="43"/>
      <c r="Q76" s="43"/>
      <c r="R76" s="43"/>
      <c r="S76" s="43"/>
      <c r="T76" s="43"/>
      <c r="U76" s="43"/>
    </row>
    <row r="77" spans="2:21" x14ac:dyDescent="0.25">
      <c r="B77" s="28" t="s">
        <v>6</v>
      </c>
      <c r="C77" s="29">
        <v>0</v>
      </c>
      <c r="D77" s="35" t="e">
        <f t="shared" si="4"/>
        <v>#DIV/0!</v>
      </c>
      <c r="O77" s="43"/>
      <c r="P77" s="43"/>
      <c r="Q77" s="43"/>
      <c r="R77" s="43"/>
      <c r="S77" s="43"/>
      <c r="T77" s="43"/>
      <c r="U77" s="43"/>
    </row>
    <row r="78" spans="2:21" x14ac:dyDescent="0.25">
      <c r="B78" s="28" t="s">
        <v>7</v>
      </c>
      <c r="C78" s="29">
        <v>0</v>
      </c>
      <c r="D78" s="35" t="e">
        <f t="shared" si="4"/>
        <v>#DIV/0!</v>
      </c>
      <c r="O78" s="43"/>
      <c r="P78" s="43"/>
      <c r="Q78" s="43"/>
      <c r="R78" s="43"/>
      <c r="S78" s="43"/>
      <c r="T78" s="43"/>
      <c r="U78" s="43"/>
    </row>
    <row r="79" spans="2:21" x14ac:dyDescent="0.25">
      <c r="B79" s="28" t="s">
        <v>8</v>
      </c>
      <c r="C79" s="29">
        <v>0</v>
      </c>
      <c r="D79" s="35" t="e">
        <f t="shared" si="4"/>
        <v>#DIV/0!</v>
      </c>
      <c r="O79" s="43"/>
      <c r="P79" s="43"/>
      <c r="Q79" s="43"/>
      <c r="R79" s="43"/>
      <c r="S79" s="43"/>
      <c r="T79" s="43"/>
      <c r="U79" s="43"/>
    </row>
    <row r="80" spans="2:21" x14ac:dyDescent="0.25">
      <c r="B80" s="28" t="s">
        <v>47</v>
      </c>
      <c r="C80" s="29">
        <v>0</v>
      </c>
      <c r="D80" s="35" t="e">
        <f t="shared" si="4"/>
        <v>#DIV/0!</v>
      </c>
      <c r="O80" s="43"/>
      <c r="P80" s="43"/>
      <c r="Q80" s="43"/>
      <c r="R80" s="43"/>
      <c r="S80" s="43"/>
      <c r="T80" s="43"/>
      <c r="U80" s="43"/>
    </row>
    <row r="81" spans="2:21" x14ac:dyDescent="0.25">
      <c r="B81" s="28" t="s">
        <v>48</v>
      </c>
      <c r="C81" s="29">
        <v>0</v>
      </c>
      <c r="D81" s="35" t="e">
        <f t="shared" si="4"/>
        <v>#DIV/0!</v>
      </c>
      <c r="O81" s="43"/>
      <c r="P81" s="43"/>
      <c r="Q81" s="43"/>
      <c r="R81" s="43"/>
      <c r="S81" s="43"/>
      <c r="T81" s="43"/>
      <c r="U81" s="43"/>
    </row>
    <row r="82" spans="2:21" x14ac:dyDescent="0.25">
      <c r="B82" s="28" t="s">
        <v>49</v>
      </c>
      <c r="C82" s="29">
        <v>0</v>
      </c>
      <c r="D82" s="35" t="e">
        <f t="shared" si="4"/>
        <v>#DIV/0!</v>
      </c>
      <c r="O82" s="43"/>
      <c r="P82" s="43"/>
      <c r="Q82" s="43"/>
      <c r="R82" s="43"/>
      <c r="S82" s="43"/>
      <c r="T82" s="43"/>
      <c r="U82" s="43"/>
    </row>
    <row r="83" spans="2:21" ht="7" customHeight="1" x14ac:dyDescent="0.25"/>
    <row r="84" spans="2:21" ht="13" thickBot="1" x14ac:dyDescent="0.3">
      <c r="C84" s="34">
        <f>+SUM(C71:C82)</f>
        <v>0</v>
      </c>
    </row>
    <row r="85" spans="2:21" ht="13" thickTop="1" x14ac:dyDescent="0.25">
      <c r="C85" s="41" t="s">
        <v>71</v>
      </c>
    </row>
    <row r="87" spans="2:21" x14ac:dyDescent="0.25">
      <c r="B87" s="32" t="s">
        <v>57</v>
      </c>
    </row>
    <row r="90" spans="2:21" ht="25" x14ac:dyDescent="0.25">
      <c r="B90" s="4" t="s">
        <v>56</v>
      </c>
      <c r="C90" s="4" t="s">
        <v>51</v>
      </c>
      <c r="D90" s="4" t="s">
        <v>58</v>
      </c>
      <c r="E90" s="4" t="s">
        <v>55</v>
      </c>
      <c r="O90" s="44" t="s">
        <v>68</v>
      </c>
      <c r="P90" s="45"/>
      <c r="Q90" s="45"/>
      <c r="R90" s="45"/>
      <c r="S90" s="45"/>
      <c r="T90" s="45"/>
      <c r="U90" s="46"/>
    </row>
    <row r="91" spans="2:21" ht="13.5" x14ac:dyDescent="0.35">
      <c r="B91" s="28" t="s">
        <v>45</v>
      </c>
      <c r="C91" s="33">
        <v>0</v>
      </c>
      <c r="D91" s="33">
        <v>0</v>
      </c>
      <c r="E91" s="36" t="e">
        <f>+D91/$C$104</f>
        <v>#DIV/0!</v>
      </c>
      <c r="O91" s="43" t="s">
        <v>75</v>
      </c>
      <c r="P91" s="43"/>
      <c r="Q91" s="43"/>
      <c r="R91" s="43"/>
      <c r="S91" s="43"/>
      <c r="T91" s="43"/>
      <c r="U91" s="43"/>
    </row>
    <row r="92" spans="2:21" ht="13.5" x14ac:dyDescent="0.35">
      <c r="B92" s="28" t="s">
        <v>46</v>
      </c>
      <c r="C92" s="33">
        <v>0</v>
      </c>
      <c r="D92" s="33">
        <v>0</v>
      </c>
      <c r="E92" s="36" t="e">
        <f t="shared" ref="E92:E101" si="5">+D92/$C$104</f>
        <v>#DIV/0!</v>
      </c>
      <c r="O92" s="43"/>
      <c r="P92" s="43"/>
      <c r="Q92" s="43"/>
      <c r="R92" s="43"/>
      <c r="S92" s="43"/>
      <c r="T92" s="43"/>
      <c r="U92" s="43"/>
    </row>
    <row r="93" spans="2:21" ht="13.5" x14ac:dyDescent="0.35">
      <c r="B93" s="28" t="s">
        <v>2</v>
      </c>
      <c r="C93" s="33">
        <v>0</v>
      </c>
      <c r="D93" s="33">
        <v>0</v>
      </c>
      <c r="E93" s="36" t="e">
        <f t="shared" si="5"/>
        <v>#DIV/0!</v>
      </c>
      <c r="O93" s="43"/>
      <c r="P93" s="43"/>
      <c r="Q93" s="43"/>
      <c r="R93" s="43"/>
      <c r="S93" s="43"/>
      <c r="T93" s="43"/>
      <c r="U93" s="43"/>
    </row>
    <row r="94" spans="2:21" ht="13.5" x14ac:dyDescent="0.35">
      <c r="B94" s="28" t="s">
        <v>3</v>
      </c>
      <c r="C94" s="33">
        <v>0</v>
      </c>
      <c r="D94" s="33">
        <v>0</v>
      </c>
      <c r="E94" s="36" t="e">
        <f t="shared" si="5"/>
        <v>#DIV/0!</v>
      </c>
      <c r="O94" s="43"/>
      <c r="P94" s="43"/>
      <c r="Q94" s="43"/>
      <c r="R94" s="43"/>
      <c r="S94" s="43"/>
      <c r="T94" s="43"/>
      <c r="U94" s="43"/>
    </row>
    <row r="95" spans="2:21" ht="13.5" x14ac:dyDescent="0.35">
      <c r="B95" s="28" t="s">
        <v>4</v>
      </c>
      <c r="C95" s="33">
        <v>0</v>
      </c>
      <c r="D95" s="33">
        <v>0</v>
      </c>
      <c r="E95" s="36" t="e">
        <f t="shared" si="5"/>
        <v>#DIV/0!</v>
      </c>
      <c r="O95" s="43"/>
      <c r="P95" s="43"/>
      <c r="Q95" s="43"/>
      <c r="R95" s="43"/>
      <c r="S95" s="43"/>
      <c r="T95" s="43"/>
      <c r="U95" s="43"/>
    </row>
    <row r="96" spans="2:21" ht="13.5" x14ac:dyDescent="0.35">
      <c r="B96" s="28" t="s">
        <v>5</v>
      </c>
      <c r="C96" s="33">
        <v>0</v>
      </c>
      <c r="D96" s="33">
        <v>0</v>
      </c>
      <c r="E96" s="36" t="e">
        <f t="shared" si="5"/>
        <v>#DIV/0!</v>
      </c>
      <c r="O96" s="43"/>
      <c r="P96" s="43"/>
      <c r="Q96" s="43"/>
      <c r="R96" s="43"/>
      <c r="S96" s="43"/>
      <c r="T96" s="43"/>
      <c r="U96" s="43"/>
    </row>
    <row r="97" spans="2:21" ht="13.5" x14ac:dyDescent="0.35">
      <c r="B97" s="28" t="s">
        <v>6</v>
      </c>
      <c r="C97" s="33">
        <v>0</v>
      </c>
      <c r="D97" s="33">
        <v>0</v>
      </c>
      <c r="E97" s="36" t="e">
        <f t="shared" si="5"/>
        <v>#DIV/0!</v>
      </c>
      <c r="O97" s="43"/>
      <c r="P97" s="43"/>
      <c r="Q97" s="43"/>
      <c r="R97" s="43"/>
      <c r="S97" s="43"/>
      <c r="T97" s="43"/>
      <c r="U97" s="43"/>
    </row>
    <row r="98" spans="2:21" ht="13.5" x14ac:dyDescent="0.35">
      <c r="B98" s="28" t="s">
        <v>7</v>
      </c>
      <c r="C98" s="33">
        <v>0</v>
      </c>
      <c r="D98" s="33">
        <v>0</v>
      </c>
      <c r="E98" s="36" t="e">
        <f t="shared" si="5"/>
        <v>#DIV/0!</v>
      </c>
      <c r="O98" s="43"/>
      <c r="P98" s="43"/>
      <c r="Q98" s="43"/>
      <c r="R98" s="43"/>
      <c r="S98" s="43"/>
      <c r="T98" s="43"/>
      <c r="U98" s="43"/>
    </row>
    <row r="99" spans="2:21" ht="13.5" x14ac:dyDescent="0.35">
      <c r="B99" s="28" t="s">
        <v>8</v>
      </c>
      <c r="C99" s="33">
        <v>0</v>
      </c>
      <c r="D99" s="33">
        <v>0</v>
      </c>
      <c r="E99" s="36" t="e">
        <f t="shared" si="5"/>
        <v>#DIV/0!</v>
      </c>
      <c r="O99" s="43"/>
      <c r="P99" s="43"/>
      <c r="Q99" s="43"/>
      <c r="R99" s="43"/>
      <c r="S99" s="43"/>
      <c r="T99" s="43"/>
      <c r="U99" s="43"/>
    </row>
    <row r="100" spans="2:21" ht="13.5" x14ac:dyDescent="0.35">
      <c r="B100" s="28" t="s">
        <v>47</v>
      </c>
      <c r="C100" s="33">
        <v>0</v>
      </c>
      <c r="D100" s="33">
        <v>0</v>
      </c>
      <c r="E100" s="36" t="e">
        <f t="shared" si="5"/>
        <v>#DIV/0!</v>
      </c>
      <c r="O100" s="43"/>
      <c r="P100" s="43"/>
      <c r="Q100" s="43"/>
      <c r="R100" s="43"/>
      <c r="S100" s="43"/>
      <c r="T100" s="43"/>
      <c r="U100" s="43"/>
    </row>
    <row r="101" spans="2:21" ht="13.5" x14ac:dyDescent="0.35">
      <c r="B101" s="28" t="s">
        <v>48</v>
      </c>
      <c r="C101" s="33">
        <v>0</v>
      </c>
      <c r="D101" s="33">
        <v>0</v>
      </c>
      <c r="E101" s="36" t="e">
        <f t="shared" si="5"/>
        <v>#DIV/0!</v>
      </c>
      <c r="O101" s="43"/>
      <c r="P101" s="43"/>
      <c r="Q101" s="43"/>
      <c r="R101" s="43"/>
      <c r="S101" s="43"/>
      <c r="T101" s="43"/>
      <c r="U101" s="43"/>
    </row>
    <row r="102" spans="2:21" ht="13.5" x14ac:dyDescent="0.35">
      <c r="B102" s="28" t="s">
        <v>49</v>
      </c>
      <c r="C102" s="33">
        <v>0</v>
      </c>
      <c r="D102" s="33">
        <v>0</v>
      </c>
      <c r="E102" s="36" t="e">
        <f>+D102/$C$104</f>
        <v>#DIV/0!</v>
      </c>
      <c r="O102" s="43"/>
      <c r="P102" s="43"/>
      <c r="Q102" s="43"/>
      <c r="R102" s="43"/>
      <c r="S102" s="43"/>
      <c r="T102" s="43"/>
      <c r="U102" s="43"/>
    </row>
    <row r="103" spans="2:21" ht="7" customHeight="1" x14ac:dyDescent="0.25">
      <c r="B103" s="26"/>
      <c r="C103" s="30"/>
      <c r="D103" s="30"/>
      <c r="E103" s="30"/>
    </row>
    <row r="104" spans="2:21" ht="13" thickBot="1" x14ac:dyDescent="0.3">
      <c r="B104" s="27"/>
      <c r="C104" s="31">
        <f>+SUM(C91:C102)</f>
        <v>0</v>
      </c>
      <c r="D104" s="31">
        <f t="shared" ref="D104:E104" si="6">+SUM(D91:D102)</f>
        <v>0</v>
      </c>
      <c r="E104" s="31" t="e">
        <f t="shared" si="6"/>
        <v>#DIV/0!</v>
      </c>
    </row>
    <row r="105" spans="2:21" ht="13" thickTop="1" x14ac:dyDescent="0.25">
      <c r="C105" s="41" t="s">
        <v>71</v>
      </c>
      <c r="D105" s="41" t="s">
        <v>72</v>
      </c>
    </row>
    <row r="107" spans="2:21" x14ac:dyDescent="0.25">
      <c r="B107" s="32" t="s">
        <v>59</v>
      </c>
    </row>
    <row r="110" spans="2:21" ht="25" x14ac:dyDescent="0.25">
      <c r="B110" s="4" t="s">
        <v>56</v>
      </c>
      <c r="C110" s="4" t="s">
        <v>51</v>
      </c>
      <c r="D110" s="4" t="s">
        <v>60</v>
      </c>
      <c r="E110" s="4" t="s">
        <v>55</v>
      </c>
      <c r="O110" s="44" t="s">
        <v>68</v>
      </c>
      <c r="P110" s="45"/>
      <c r="Q110" s="45"/>
      <c r="R110" s="45"/>
      <c r="S110" s="45"/>
      <c r="T110" s="45"/>
      <c r="U110" s="46"/>
    </row>
    <row r="111" spans="2:21" ht="13.5" x14ac:dyDescent="0.35">
      <c r="B111" s="28" t="s">
        <v>45</v>
      </c>
      <c r="C111" s="33"/>
      <c r="D111" s="33"/>
      <c r="E111" s="36" t="e">
        <f>+D111/$C$124</f>
        <v>#DIV/0!</v>
      </c>
      <c r="O111" s="43" t="s">
        <v>85</v>
      </c>
      <c r="P111" s="43"/>
      <c r="Q111" s="43"/>
      <c r="R111" s="43"/>
      <c r="S111" s="43"/>
      <c r="T111" s="43"/>
      <c r="U111" s="43"/>
    </row>
    <row r="112" spans="2:21" ht="13.5" x14ac:dyDescent="0.35">
      <c r="B112" s="28" t="s">
        <v>46</v>
      </c>
      <c r="C112" s="29"/>
      <c r="D112" s="29"/>
      <c r="E112" s="36" t="e">
        <f t="shared" ref="E112:E122" si="7">+D112/$C$124</f>
        <v>#DIV/0!</v>
      </c>
      <c r="O112" s="43"/>
      <c r="P112" s="43"/>
      <c r="Q112" s="43"/>
      <c r="R112" s="43"/>
      <c r="S112" s="43"/>
      <c r="T112" s="43"/>
      <c r="U112" s="43"/>
    </row>
    <row r="113" spans="2:21" ht="13.5" x14ac:dyDescent="0.35">
      <c r="B113" s="28" t="s">
        <v>2</v>
      </c>
      <c r="C113" s="29"/>
      <c r="D113" s="29"/>
      <c r="E113" s="36" t="e">
        <f t="shared" si="7"/>
        <v>#DIV/0!</v>
      </c>
      <c r="O113" s="43"/>
      <c r="P113" s="43"/>
      <c r="Q113" s="43"/>
      <c r="R113" s="43"/>
      <c r="S113" s="43"/>
      <c r="T113" s="43"/>
      <c r="U113" s="43"/>
    </row>
    <row r="114" spans="2:21" ht="13.5" x14ac:dyDescent="0.35">
      <c r="B114" s="28" t="s">
        <v>3</v>
      </c>
      <c r="C114" s="29"/>
      <c r="D114" s="29"/>
      <c r="E114" s="36" t="e">
        <f t="shared" si="7"/>
        <v>#DIV/0!</v>
      </c>
      <c r="O114" s="43"/>
      <c r="P114" s="43"/>
      <c r="Q114" s="43"/>
      <c r="R114" s="43"/>
      <c r="S114" s="43"/>
      <c r="T114" s="43"/>
      <c r="U114" s="43"/>
    </row>
    <row r="115" spans="2:21" ht="13.5" x14ac:dyDescent="0.35">
      <c r="B115" s="28" t="s">
        <v>4</v>
      </c>
      <c r="C115" s="29"/>
      <c r="D115" s="29"/>
      <c r="E115" s="36" t="e">
        <f t="shared" si="7"/>
        <v>#DIV/0!</v>
      </c>
      <c r="O115" s="43"/>
      <c r="P115" s="43"/>
      <c r="Q115" s="43"/>
      <c r="R115" s="43"/>
      <c r="S115" s="43"/>
      <c r="T115" s="43"/>
      <c r="U115" s="43"/>
    </row>
    <row r="116" spans="2:21" ht="13.5" x14ac:dyDescent="0.35">
      <c r="B116" s="28" t="s">
        <v>5</v>
      </c>
      <c r="C116" s="29"/>
      <c r="D116" s="29"/>
      <c r="E116" s="36" t="e">
        <f t="shared" si="7"/>
        <v>#DIV/0!</v>
      </c>
      <c r="O116" s="43"/>
      <c r="P116" s="43"/>
      <c r="Q116" s="43"/>
      <c r="R116" s="43"/>
      <c r="S116" s="43"/>
      <c r="T116" s="43"/>
      <c r="U116" s="43"/>
    </row>
    <row r="117" spans="2:21" ht="13.5" x14ac:dyDescent="0.35">
      <c r="B117" s="28" t="s">
        <v>6</v>
      </c>
      <c r="C117" s="29"/>
      <c r="D117" s="29"/>
      <c r="E117" s="36" t="e">
        <f t="shared" si="7"/>
        <v>#DIV/0!</v>
      </c>
      <c r="O117" s="43"/>
      <c r="P117" s="43"/>
      <c r="Q117" s="43"/>
      <c r="R117" s="43"/>
      <c r="S117" s="43"/>
      <c r="T117" s="43"/>
      <c r="U117" s="43"/>
    </row>
    <row r="118" spans="2:21" ht="13.5" x14ac:dyDescent="0.35">
      <c r="B118" s="28" t="s">
        <v>7</v>
      </c>
      <c r="C118" s="29"/>
      <c r="D118" s="29"/>
      <c r="E118" s="36" t="e">
        <f t="shared" si="7"/>
        <v>#DIV/0!</v>
      </c>
      <c r="O118" s="43"/>
      <c r="P118" s="43"/>
      <c r="Q118" s="43"/>
      <c r="R118" s="43"/>
      <c r="S118" s="43"/>
      <c r="T118" s="43"/>
      <c r="U118" s="43"/>
    </row>
    <row r="119" spans="2:21" ht="13.5" x14ac:dyDescent="0.35">
      <c r="B119" s="28" t="s">
        <v>8</v>
      </c>
      <c r="C119" s="29"/>
      <c r="D119" s="29"/>
      <c r="E119" s="36" t="e">
        <f t="shared" si="7"/>
        <v>#DIV/0!</v>
      </c>
      <c r="O119" s="43"/>
      <c r="P119" s="43"/>
      <c r="Q119" s="43"/>
      <c r="R119" s="43"/>
      <c r="S119" s="43"/>
      <c r="T119" s="43"/>
      <c r="U119" s="43"/>
    </row>
    <row r="120" spans="2:21" ht="13.5" x14ac:dyDescent="0.35">
      <c r="B120" s="28" t="s">
        <v>47</v>
      </c>
      <c r="C120" s="29"/>
      <c r="D120" s="29"/>
      <c r="E120" s="36" t="e">
        <f t="shared" si="7"/>
        <v>#DIV/0!</v>
      </c>
      <c r="O120" s="43"/>
      <c r="P120" s="43"/>
      <c r="Q120" s="43"/>
      <c r="R120" s="43"/>
      <c r="S120" s="43"/>
      <c r="T120" s="43"/>
      <c r="U120" s="43"/>
    </row>
    <row r="121" spans="2:21" ht="13.5" x14ac:dyDescent="0.35">
      <c r="B121" s="28" t="s">
        <v>48</v>
      </c>
      <c r="C121" s="29"/>
      <c r="D121" s="29"/>
      <c r="E121" s="36" t="e">
        <f t="shared" si="7"/>
        <v>#DIV/0!</v>
      </c>
      <c r="O121" s="43"/>
      <c r="P121" s="43"/>
      <c r="Q121" s="43"/>
      <c r="R121" s="43"/>
      <c r="S121" s="43"/>
      <c r="T121" s="43"/>
      <c r="U121" s="43"/>
    </row>
    <row r="122" spans="2:21" ht="13.5" x14ac:dyDescent="0.35">
      <c r="B122" s="28" t="s">
        <v>49</v>
      </c>
      <c r="C122" s="29"/>
      <c r="D122" s="29"/>
      <c r="E122" s="36" t="e">
        <f t="shared" si="7"/>
        <v>#DIV/0!</v>
      </c>
      <c r="O122" s="43"/>
      <c r="P122" s="43"/>
      <c r="Q122" s="43"/>
      <c r="R122" s="43"/>
      <c r="S122" s="43"/>
      <c r="T122" s="43"/>
      <c r="U122" s="43"/>
    </row>
    <row r="123" spans="2:21" ht="7" customHeight="1" x14ac:dyDescent="0.25">
      <c r="B123" s="26"/>
      <c r="C123" s="30"/>
      <c r="D123" s="30"/>
      <c r="E123" s="30"/>
    </row>
    <row r="124" spans="2:21" ht="13" thickBot="1" x14ac:dyDescent="0.3">
      <c r="B124" s="27"/>
      <c r="C124" s="31">
        <f>+SUM(C111:C122)</f>
        <v>0</v>
      </c>
      <c r="D124" s="31">
        <f t="shared" ref="D124:E124" si="8">+SUM(D111:D122)</f>
        <v>0</v>
      </c>
      <c r="E124" s="31" t="e">
        <f t="shared" si="8"/>
        <v>#DIV/0!</v>
      </c>
    </row>
    <row r="125" spans="2:21" ht="13" thickTop="1" x14ac:dyDescent="0.25">
      <c r="C125" s="41" t="s">
        <v>71</v>
      </c>
    </row>
    <row r="127" spans="2:21" x14ac:dyDescent="0.25">
      <c r="B127" s="32" t="s">
        <v>61</v>
      </c>
    </row>
    <row r="128" spans="2:21" x14ac:dyDescent="0.25">
      <c r="B128" s="32"/>
    </row>
    <row r="130" spans="2:21" ht="25" x14ac:dyDescent="0.25">
      <c r="B130" s="4" t="s">
        <v>56</v>
      </c>
      <c r="C130" s="4" t="s">
        <v>51</v>
      </c>
      <c r="D130" s="4" t="s">
        <v>62</v>
      </c>
      <c r="E130" s="4" t="s">
        <v>63</v>
      </c>
      <c r="F130" s="4" t="s">
        <v>9</v>
      </c>
      <c r="O130" s="44" t="s">
        <v>68</v>
      </c>
      <c r="P130" s="45"/>
      <c r="Q130" s="45"/>
      <c r="R130" s="45"/>
      <c r="S130" s="45"/>
      <c r="T130" s="45"/>
      <c r="U130" s="46"/>
    </row>
    <row r="131" spans="2:21" ht="13.5" customHeight="1" x14ac:dyDescent="0.35">
      <c r="B131" s="28" t="s">
        <v>45</v>
      </c>
      <c r="C131" s="33">
        <v>0</v>
      </c>
      <c r="D131" s="33">
        <v>0</v>
      </c>
      <c r="E131" s="37">
        <f>+C131-D131</f>
        <v>0</v>
      </c>
      <c r="F131" s="35" t="e">
        <f>+E131/C131</f>
        <v>#DIV/0!</v>
      </c>
      <c r="O131" s="43" t="s">
        <v>77</v>
      </c>
      <c r="P131" s="43"/>
      <c r="Q131" s="43"/>
      <c r="R131" s="43"/>
      <c r="S131" s="43"/>
      <c r="T131" s="43"/>
      <c r="U131" s="43"/>
    </row>
    <row r="132" spans="2:21" ht="13.5" x14ac:dyDescent="0.35">
      <c r="B132" s="28" t="s">
        <v>46</v>
      </c>
      <c r="C132" s="33">
        <v>0</v>
      </c>
      <c r="D132" s="33">
        <v>0</v>
      </c>
      <c r="E132" s="37">
        <f t="shared" ref="E132:E142" si="9">+C132-D132</f>
        <v>0</v>
      </c>
      <c r="F132" s="35" t="e">
        <f t="shared" ref="F132:F142" si="10">+E132/C132</f>
        <v>#DIV/0!</v>
      </c>
      <c r="O132" s="43"/>
      <c r="P132" s="43"/>
      <c r="Q132" s="43"/>
      <c r="R132" s="43"/>
      <c r="S132" s="43"/>
      <c r="T132" s="43"/>
      <c r="U132" s="43"/>
    </row>
    <row r="133" spans="2:21" ht="13.5" x14ac:dyDescent="0.35">
      <c r="B133" s="28" t="s">
        <v>2</v>
      </c>
      <c r="C133" s="33">
        <v>0</v>
      </c>
      <c r="D133" s="33">
        <v>0</v>
      </c>
      <c r="E133" s="37">
        <f t="shared" si="9"/>
        <v>0</v>
      </c>
      <c r="F133" s="35" t="e">
        <f t="shared" si="10"/>
        <v>#DIV/0!</v>
      </c>
      <c r="O133" s="43"/>
      <c r="P133" s="43"/>
      <c r="Q133" s="43"/>
      <c r="R133" s="43"/>
      <c r="S133" s="43"/>
      <c r="T133" s="43"/>
      <c r="U133" s="43"/>
    </row>
    <row r="134" spans="2:21" ht="13.5" x14ac:dyDescent="0.35">
      <c r="B134" s="28" t="s">
        <v>3</v>
      </c>
      <c r="C134" s="33">
        <v>0</v>
      </c>
      <c r="D134" s="33">
        <v>0</v>
      </c>
      <c r="E134" s="37">
        <f t="shared" si="9"/>
        <v>0</v>
      </c>
      <c r="F134" s="35" t="e">
        <f t="shared" si="10"/>
        <v>#DIV/0!</v>
      </c>
      <c r="O134" s="43"/>
      <c r="P134" s="43"/>
      <c r="Q134" s="43"/>
      <c r="R134" s="43"/>
      <c r="S134" s="43"/>
      <c r="T134" s="43"/>
      <c r="U134" s="43"/>
    </row>
    <row r="135" spans="2:21" ht="13.5" x14ac:dyDescent="0.35">
      <c r="B135" s="28" t="s">
        <v>4</v>
      </c>
      <c r="C135" s="33">
        <v>0</v>
      </c>
      <c r="D135" s="33">
        <v>0</v>
      </c>
      <c r="E135" s="37">
        <f t="shared" si="9"/>
        <v>0</v>
      </c>
      <c r="F135" s="35" t="e">
        <f t="shared" si="10"/>
        <v>#DIV/0!</v>
      </c>
      <c r="O135" s="43"/>
      <c r="P135" s="43"/>
      <c r="Q135" s="43"/>
      <c r="R135" s="43"/>
      <c r="S135" s="43"/>
      <c r="T135" s="43"/>
      <c r="U135" s="43"/>
    </row>
    <row r="136" spans="2:21" ht="13.5" x14ac:dyDescent="0.35">
      <c r="B136" s="28" t="s">
        <v>5</v>
      </c>
      <c r="C136" s="33">
        <v>0</v>
      </c>
      <c r="D136" s="33">
        <v>0</v>
      </c>
      <c r="E136" s="37">
        <f t="shared" si="9"/>
        <v>0</v>
      </c>
      <c r="F136" s="35" t="e">
        <f t="shared" si="10"/>
        <v>#DIV/0!</v>
      </c>
      <c r="O136" s="43"/>
      <c r="P136" s="43"/>
      <c r="Q136" s="43"/>
      <c r="R136" s="43"/>
      <c r="S136" s="43"/>
      <c r="T136" s="43"/>
      <c r="U136" s="43"/>
    </row>
    <row r="137" spans="2:21" ht="13.5" x14ac:dyDescent="0.35">
      <c r="B137" s="28" t="s">
        <v>6</v>
      </c>
      <c r="C137" s="33">
        <v>0</v>
      </c>
      <c r="D137" s="33">
        <v>0</v>
      </c>
      <c r="E137" s="37">
        <f t="shared" si="9"/>
        <v>0</v>
      </c>
      <c r="F137" s="35" t="e">
        <f t="shared" si="10"/>
        <v>#DIV/0!</v>
      </c>
      <c r="O137" s="43"/>
      <c r="P137" s="43"/>
      <c r="Q137" s="43"/>
      <c r="R137" s="43"/>
      <c r="S137" s="43"/>
      <c r="T137" s="43"/>
      <c r="U137" s="43"/>
    </row>
    <row r="138" spans="2:21" ht="13.5" x14ac:dyDescent="0.35">
      <c r="B138" s="28" t="s">
        <v>7</v>
      </c>
      <c r="C138" s="33">
        <v>0</v>
      </c>
      <c r="D138" s="33">
        <v>0</v>
      </c>
      <c r="E138" s="37">
        <f t="shared" si="9"/>
        <v>0</v>
      </c>
      <c r="F138" s="35" t="e">
        <f t="shared" si="10"/>
        <v>#DIV/0!</v>
      </c>
      <c r="O138" s="43"/>
      <c r="P138" s="43"/>
      <c r="Q138" s="43"/>
      <c r="R138" s="43"/>
      <c r="S138" s="43"/>
      <c r="T138" s="43"/>
      <c r="U138" s="43"/>
    </row>
    <row r="139" spans="2:21" ht="13.5" x14ac:dyDescent="0.35">
      <c r="B139" s="28" t="s">
        <v>8</v>
      </c>
      <c r="C139" s="33">
        <v>0</v>
      </c>
      <c r="D139" s="33">
        <v>0</v>
      </c>
      <c r="E139" s="37">
        <f t="shared" si="9"/>
        <v>0</v>
      </c>
      <c r="F139" s="35" t="e">
        <f t="shared" si="10"/>
        <v>#DIV/0!</v>
      </c>
      <c r="O139" s="43"/>
      <c r="P139" s="43"/>
      <c r="Q139" s="43"/>
      <c r="R139" s="43"/>
      <c r="S139" s="43"/>
      <c r="T139" s="43"/>
      <c r="U139" s="43"/>
    </row>
    <row r="140" spans="2:21" ht="13.5" x14ac:dyDescent="0.35">
      <c r="B140" s="28" t="s">
        <v>47</v>
      </c>
      <c r="C140" s="33">
        <v>0</v>
      </c>
      <c r="D140" s="33">
        <v>0</v>
      </c>
      <c r="E140" s="37">
        <f t="shared" si="9"/>
        <v>0</v>
      </c>
      <c r="F140" s="35" t="e">
        <f t="shared" si="10"/>
        <v>#DIV/0!</v>
      </c>
      <c r="O140" s="43"/>
      <c r="P140" s="43"/>
      <c r="Q140" s="43"/>
      <c r="R140" s="43"/>
      <c r="S140" s="43"/>
      <c r="T140" s="43"/>
      <c r="U140" s="43"/>
    </row>
    <row r="141" spans="2:21" ht="13.5" x14ac:dyDescent="0.35">
      <c r="B141" s="28" t="s">
        <v>48</v>
      </c>
      <c r="C141" s="33">
        <v>0</v>
      </c>
      <c r="D141" s="33">
        <v>0</v>
      </c>
      <c r="E141" s="37">
        <f t="shared" si="9"/>
        <v>0</v>
      </c>
      <c r="F141" s="35" t="e">
        <f t="shared" si="10"/>
        <v>#DIV/0!</v>
      </c>
      <c r="O141" s="43"/>
      <c r="P141" s="43"/>
      <c r="Q141" s="43"/>
      <c r="R141" s="43"/>
      <c r="S141" s="43"/>
      <c r="T141" s="43"/>
      <c r="U141" s="43"/>
    </row>
    <row r="142" spans="2:21" ht="13.5" x14ac:dyDescent="0.35">
      <c r="B142" s="28" t="s">
        <v>49</v>
      </c>
      <c r="C142" s="33">
        <v>0</v>
      </c>
      <c r="D142" s="33">
        <v>0</v>
      </c>
      <c r="E142" s="37">
        <f t="shared" si="9"/>
        <v>0</v>
      </c>
      <c r="F142" s="35" t="e">
        <f t="shared" si="10"/>
        <v>#DIV/0!</v>
      </c>
      <c r="O142" s="43"/>
      <c r="P142" s="43"/>
      <c r="Q142" s="43"/>
      <c r="R142" s="43"/>
      <c r="S142" s="43"/>
      <c r="T142" s="43"/>
      <c r="U142" s="43"/>
    </row>
    <row r="143" spans="2:21" ht="7" customHeight="1" x14ac:dyDescent="0.25"/>
    <row r="144" spans="2:21" ht="13" thickBot="1" x14ac:dyDescent="0.3">
      <c r="C144" s="34">
        <f>+SUM(C131:C142)</f>
        <v>0</v>
      </c>
      <c r="D144" s="34">
        <f t="shared" ref="D144:F144" si="11">+SUM(D131:D142)</f>
        <v>0</v>
      </c>
      <c r="E144" s="34">
        <f t="shared" si="11"/>
        <v>0</v>
      </c>
      <c r="F144" s="34" t="e">
        <f t="shared" si="11"/>
        <v>#DIV/0!</v>
      </c>
    </row>
    <row r="145" spans="2:21" ht="13" thickTop="1" x14ac:dyDescent="0.25">
      <c r="C145" s="41" t="s">
        <v>71</v>
      </c>
      <c r="D145" s="6" t="s">
        <v>30</v>
      </c>
    </row>
    <row r="147" spans="2:21" x14ac:dyDescent="0.25">
      <c r="B147" s="32" t="s">
        <v>64</v>
      </c>
    </row>
    <row r="150" spans="2:21" ht="25" x14ac:dyDescent="0.25">
      <c r="B150" s="4" t="s">
        <v>65</v>
      </c>
      <c r="C150" s="4" t="s">
        <v>66</v>
      </c>
      <c r="D150" s="4" t="s">
        <v>55</v>
      </c>
    </row>
    <row r="151" spans="2:21" x14ac:dyDescent="0.25">
      <c r="B151" s="28"/>
      <c r="C151" s="29">
        <v>0</v>
      </c>
      <c r="D151" s="35" t="e">
        <f t="shared" ref="D151:D161" si="12">+C151/$C$163</f>
        <v>#DIV/0!</v>
      </c>
      <c r="O151" s="44" t="s">
        <v>68</v>
      </c>
      <c r="P151" s="45"/>
      <c r="Q151" s="45"/>
      <c r="R151" s="45"/>
      <c r="S151" s="45"/>
      <c r="T151" s="45"/>
      <c r="U151" s="46"/>
    </row>
    <row r="152" spans="2:21" x14ac:dyDescent="0.25">
      <c r="B152" s="28"/>
      <c r="C152" s="29">
        <v>0</v>
      </c>
      <c r="D152" s="35" t="e">
        <f t="shared" si="12"/>
        <v>#DIV/0!</v>
      </c>
      <c r="O152" s="43" t="s">
        <v>86</v>
      </c>
      <c r="P152" s="43"/>
      <c r="Q152" s="43"/>
      <c r="R152" s="43"/>
      <c r="S152" s="43"/>
      <c r="T152" s="43"/>
      <c r="U152" s="43"/>
    </row>
    <row r="153" spans="2:21" x14ac:dyDescent="0.25">
      <c r="B153" s="28"/>
      <c r="C153" s="29">
        <v>0</v>
      </c>
      <c r="D153" s="35" t="e">
        <f t="shared" si="12"/>
        <v>#DIV/0!</v>
      </c>
      <c r="O153" s="43"/>
      <c r="P153" s="43"/>
      <c r="Q153" s="43"/>
      <c r="R153" s="43"/>
      <c r="S153" s="43"/>
      <c r="T153" s="43"/>
      <c r="U153" s="43"/>
    </row>
    <row r="154" spans="2:21" x14ac:dyDescent="0.25">
      <c r="B154" s="28"/>
      <c r="C154" s="29">
        <v>0</v>
      </c>
      <c r="D154" s="35" t="e">
        <f t="shared" si="12"/>
        <v>#DIV/0!</v>
      </c>
      <c r="O154" s="43"/>
      <c r="P154" s="43"/>
      <c r="Q154" s="43"/>
      <c r="R154" s="43"/>
      <c r="S154" s="43"/>
      <c r="T154" s="43"/>
      <c r="U154" s="43"/>
    </row>
    <row r="155" spans="2:21" x14ac:dyDescent="0.25">
      <c r="B155" s="28"/>
      <c r="C155" s="29">
        <v>0</v>
      </c>
      <c r="D155" s="35" t="e">
        <f t="shared" si="12"/>
        <v>#DIV/0!</v>
      </c>
      <c r="O155" s="43"/>
      <c r="P155" s="43"/>
      <c r="Q155" s="43"/>
      <c r="R155" s="43"/>
      <c r="S155" s="43"/>
      <c r="T155" s="43"/>
      <c r="U155" s="43"/>
    </row>
    <row r="156" spans="2:21" x14ac:dyDescent="0.25">
      <c r="B156" s="28"/>
      <c r="C156" s="29">
        <v>0</v>
      </c>
      <c r="D156" s="35" t="e">
        <f t="shared" si="12"/>
        <v>#DIV/0!</v>
      </c>
      <c r="O156" s="43"/>
      <c r="P156" s="43"/>
      <c r="Q156" s="43"/>
      <c r="R156" s="43"/>
      <c r="S156" s="43"/>
      <c r="T156" s="43"/>
      <c r="U156" s="43"/>
    </row>
    <row r="157" spans="2:21" x14ac:dyDescent="0.25">
      <c r="B157" s="38"/>
      <c r="C157" s="29">
        <v>0</v>
      </c>
      <c r="D157" s="35" t="e">
        <f t="shared" si="12"/>
        <v>#DIV/0!</v>
      </c>
      <c r="O157" s="43"/>
      <c r="P157" s="43"/>
      <c r="Q157" s="43"/>
      <c r="R157" s="43"/>
      <c r="S157" s="43"/>
      <c r="T157" s="43"/>
      <c r="U157" s="43"/>
    </row>
    <row r="158" spans="2:21" x14ac:dyDescent="0.25">
      <c r="B158" s="28"/>
      <c r="C158" s="29">
        <v>0</v>
      </c>
      <c r="D158" s="35" t="e">
        <f t="shared" si="12"/>
        <v>#DIV/0!</v>
      </c>
      <c r="O158" s="43"/>
      <c r="P158" s="43"/>
      <c r="Q158" s="43"/>
      <c r="R158" s="43"/>
      <c r="S158" s="43"/>
      <c r="T158" s="43"/>
      <c r="U158" s="43"/>
    </row>
    <row r="159" spans="2:21" x14ac:dyDescent="0.25">
      <c r="B159" s="28"/>
      <c r="C159" s="29">
        <v>0</v>
      </c>
      <c r="D159" s="35" t="e">
        <f t="shared" si="12"/>
        <v>#DIV/0!</v>
      </c>
      <c r="O159" s="43"/>
      <c r="P159" s="43"/>
      <c r="Q159" s="43"/>
      <c r="R159" s="43"/>
      <c r="S159" s="43"/>
      <c r="T159" s="43"/>
      <c r="U159" s="43"/>
    </row>
    <row r="160" spans="2:21" x14ac:dyDescent="0.25">
      <c r="B160" s="28"/>
      <c r="C160" s="29">
        <v>0</v>
      </c>
      <c r="D160" s="35" t="e">
        <f t="shared" si="12"/>
        <v>#DIV/0!</v>
      </c>
      <c r="O160" s="43"/>
      <c r="P160" s="43"/>
      <c r="Q160" s="43"/>
      <c r="R160" s="43"/>
      <c r="S160" s="43"/>
      <c r="T160" s="43"/>
      <c r="U160" s="43"/>
    </row>
    <row r="161" spans="1:21" x14ac:dyDescent="0.25">
      <c r="B161" s="28"/>
      <c r="C161" s="29">
        <v>0</v>
      </c>
      <c r="D161" s="35" t="e">
        <f t="shared" si="12"/>
        <v>#DIV/0!</v>
      </c>
      <c r="O161" s="43"/>
      <c r="P161" s="43"/>
      <c r="Q161" s="43"/>
      <c r="R161" s="43"/>
      <c r="S161" s="43"/>
      <c r="T161" s="43"/>
      <c r="U161" s="43"/>
    </row>
    <row r="162" spans="1:21" ht="7" customHeight="1" x14ac:dyDescent="0.25">
      <c r="O162" s="43"/>
      <c r="P162" s="43"/>
      <c r="Q162" s="43"/>
      <c r="R162" s="43"/>
      <c r="S162" s="43"/>
      <c r="T162" s="43"/>
      <c r="U162" s="43"/>
    </row>
    <row r="163" spans="1:21" ht="13" thickBot="1" x14ac:dyDescent="0.3">
      <c r="C163" s="34">
        <f>+SUM(C151:C161)</f>
        <v>0</v>
      </c>
      <c r="O163" s="43"/>
      <c r="P163" s="43"/>
      <c r="Q163" s="43"/>
      <c r="R163" s="43"/>
      <c r="S163" s="43"/>
      <c r="T163" s="43"/>
      <c r="U163" s="43"/>
    </row>
    <row r="164" spans="1:21" ht="13" thickTop="1" x14ac:dyDescent="0.25">
      <c r="C164" s="41" t="s">
        <v>71</v>
      </c>
    </row>
    <row r="169" spans="1:21" x14ac:dyDescent="0.25">
      <c r="B169" s="16" t="s">
        <v>32</v>
      </c>
    </row>
    <row r="170" spans="1:21" ht="7" customHeight="1" x14ac:dyDescent="0.25"/>
    <row r="171" spans="1:21" ht="13.5" x14ac:dyDescent="0.25">
      <c r="A171" s="1"/>
      <c r="B171" s="17" t="s">
        <v>18</v>
      </c>
    </row>
    <row r="172" spans="1:21" x14ac:dyDescent="0.25">
      <c r="A172" s="2"/>
      <c r="B172" s="18" t="s">
        <v>19</v>
      </c>
    </row>
    <row r="173" spans="1:21" x14ac:dyDescent="0.25">
      <c r="A173" s="2"/>
      <c r="B173" s="17" t="s">
        <v>33</v>
      </c>
    </row>
    <row r="174" spans="1:21" x14ac:dyDescent="0.25">
      <c r="B174" s="39" t="s">
        <v>67</v>
      </c>
    </row>
    <row r="176" spans="1:21" x14ac:dyDescent="0.25">
      <c r="A176" s="19"/>
      <c r="B176" s="42" t="s">
        <v>78</v>
      </c>
      <c r="C176" s="40"/>
    </row>
    <row r="177" spans="1:2" ht="7" customHeight="1" x14ac:dyDescent="0.25">
      <c r="A177" s="19"/>
    </row>
    <row r="178" spans="1:2" x14ac:dyDescent="0.25">
      <c r="A178" s="20" t="s">
        <v>14</v>
      </c>
    </row>
    <row r="179" spans="1:2" x14ac:dyDescent="0.25">
      <c r="A179" s="20" t="s">
        <v>15</v>
      </c>
    </row>
    <row r="180" spans="1:2" x14ac:dyDescent="0.25">
      <c r="A180" s="20" t="s">
        <v>16</v>
      </c>
    </row>
    <row r="181" spans="1:2" x14ac:dyDescent="0.25">
      <c r="A181" s="19"/>
    </row>
    <row r="182" spans="1:2" x14ac:dyDescent="0.25">
      <c r="A182" s="21"/>
      <c r="B182" s="5" t="s">
        <v>34</v>
      </c>
    </row>
    <row r="183" spans="1:2" ht="7" customHeight="1" x14ac:dyDescent="0.25">
      <c r="A183" s="21"/>
      <c r="B183" s="5"/>
    </row>
    <row r="184" spans="1:2" x14ac:dyDescent="0.25">
      <c r="A184" s="20" t="s">
        <v>10</v>
      </c>
      <c r="B184" s="5"/>
    </row>
    <row r="185" spans="1:2" x14ac:dyDescent="0.25">
      <c r="A185" s="20" t="s">
        <v>11</v>
      </c>
      <c r="B185" s="5"/>
    </row>
    <row r="186" spans="1:2" x14ac:dyDescent="0.25">
      <c r="A186" s="20" t="s">
        <v>12</v>
      </c>
    </row>
    <row r="187" spans="1:2" x14ac:dyDescent="0.25">
      <c r="A187" s="21"/>
      <c r="B187" s="22"/>
    </row>
    <row r="188" spans="1:2" x14ac:dyDescent="0.25">
      <c r="A188" s="21"/>
      <c r="B188" s="5" t="s">
        <v>17</v>
      </c>
    </row>
    <row r="189" spans="1:2" ht="7" customHeight="1" x14ac:dyDescent="0.25">
      <c r="A189" s="21"/>
      <c r="B189" s="5"/>
    </row>
    <row r="190" spans="1:2" x14ac:dyDescent="0.25">
      <c r="A190" s="20" t="s">
        <v>35</v>
      </c>
      <c r="B190" s="5"/>
    </row>
    <row r="191" spans="1:2" x14ac:dyDescent="0.25">
      <c r="A191" s="20" t="s">
        <v>36</v>
      </c>
    </row>
    <row r="192" spans="1:2" x14ac:dyDescent="0.25">
      <c r="A192" s="20" t="s">
        <v>37</v>
      </c>
      <c r="B192" s="23"/>
    </row>
    <row r="193" spans="1:2" x14ac:dyDescent="0.25">
      <c r="A193" s="20"/>
      <c r="B193" s="23"/>
    </row>
    <row r="194" spans="1:2" x14ac:dyDescent="0.25">
      <c r="A194" s="24"/>
      <c r="B194" s="5" t="s">
        <v>13</v>
      </c>
    </row>
    <row r="195" spans="1:2" ht="7" customHeight="1" x14ac:dyDescent="0.25">
      <c r="A195" s="24"/>
      <c r="B195" s="5"/>
    </row>
    <row r="196" spans="1:2" x14ac:dyDescent="0.25">
      <c r="A196" s="24"/>
      <c r="B196" s="15" t="s">
        <v>38</v>
      </c>
    </row>
  </sheetData>
  <mergeCells count="14">
    <mergeCell ref="O31:U42"/>
    <mergeCell ref="O30:U30"/>
    <mergeCell ref="O50:U50"/>
    <mergeCell ref="O51:U62"/>
    <mergeCell ref="O70:U70"/>
    <mergeCell ref="O131:U142"/>
    <mergeCell ref="O151:U151"/>
    <mergeCell ref="O152:U163"/>
    <mergeCell ref="O71:U82"/>
    <mergeCell ref="O90:U90"/>
    <mergeCell ref="O91:U102"/>
    <mergeCell ref="O110:U110"/>
    <mergeCell ref="O111:U122"/>
    <mergeCell ref="O130:U1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1500.06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Ortiz</dc:creator>
  <cp:lastModifiedBy>Admin</cp:lastModifiedBy>
  <dcterms:created xsi:type="dcterms:W3CDTF">2023-09-26T21:43:15Z</dcterms:created>
  <dcterms:modified xsi:type="dcterms:W3CDTF">2026-04-17T03:48:29Z</dcterms:modified>
</cp:coreProperties>
</file>