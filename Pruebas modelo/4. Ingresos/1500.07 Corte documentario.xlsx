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4. Ingresos\"/>
    </mc:Choice>
  </mc:AlternateContent>
  <xr:revisionPtr revIDLastSave="0" documentId="13_ncr:1_{69C8C496-3ACC-46A7-8346-6EB685A3B172}" xr6:coauthVersionLast="47" xr6:coauthVersionMax="47" xr10:uidLastSave="{00000000-0000-0000-0000-000000000000}"/>
  <bookViews>
    <workbookView xWindow="-110" yWindow="-110" windowWidth="19420" windowHeight="10300" xr2:uid="{E28B3432-598A-49A9-AA40-B10CF4D6432B}"/>
  </bookViews>
  <sheets>
    <sheet name="1500.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8" i="1" l="1"/>
  <c r="L107" i="1"/>
  <c r="L106" i="1"/>
  <c r="L105" i="1"/>
  <c r="L104" i="1"/>
  <c r="L96" i="1"/>
  <c r="L95" i="1"/>
  <c r="L94" i="1"/>
  <c r="L93" i="1"/>
  <c r="L92" i="1"/>
  <c r="I108" i="1"/>
  <c r="I107" i="1"/>
  <c r="H106" i="1"/>
  <c r="I106" i="1" s="1"/>
  <c r="H105" i="1"/>
  <c r="I105" i="1" s="1"/>
  <c r="H104" i="1"/>
  <c r="I96" i="1"/>
  <c r="I95" i="1"/>
  <c r="H94" i="1"/>
  <c r="I94" i="1" s="1"/>
  <c r="H93" i="1"/>
  <c r="I93" i="1" s="1"/>
  <c r="H92" i="1"/>
  <c r="L70" i="1"/>
  <c r="L69" i="1"/>
  <c r="L68" i="1"/>
  <c r="L67" i="1"/>
  <c r="L66" i="1"/>
  <c r="L52" i="1"/>
  <c r="G85" i="1"/>
  <c r="L83" i="1"/>
  <c r="I83" i="1"/>
  <c r="L82" i="1"/>
  <c r="I82" i="1"/>
  <c r="L81" i="1"/>
  <c r="H81" i="1"/>
  <c r="I81" i="1" s="1"/>
  <c r="L80" i="1"/>
  <c r="H80" i="1"/>
  <c r="I80" i="1" s="1"/>
  <c r="L79" i="1"/>
  <c r="H79" i="1"/>
  <c r="G72" i="1"/>
  <c r="I70" i="1"/>
  <c r="I69" i="1"/>
  <c r="H68" i="1"/>
  <c r="I68" i="1" s="1"/>
  <c r="H67" i="1"/>
  <c r="I67" i="1" s="1"/>
  <c r="H66" i="1"/>
  <c r="L56" i="1"/>
  <c r="L55" i="1"/>
  <c r="L54" i="1"/>
  <c r="L53" i="1"/>
  <c r="L43" i="1"/>
  <c r="L42" i="1"/>
  <c r="L41" i="1"/>
  <c r="L40" i="1"/>
  <c r="L39" i="1"/>
  <c r="H85" i="1" l="1"/>
  <c r="H72" i="1"/>
  <c r="I92" i="1"/>
  <c r="I104" i="1"/>
  <c r="I79" i="1"/>
  <c r="I85" i="1" s="1"/>
  <c r="I66" i="1"/>
  <c r="I72" i="1" s="1"/>
  <c r="G58" i="1" l="1"/>
  <c r="I56" i="1"/>
  <c r="I55" i="1"/>
  <c r="H54" i="1"/>
  <c r="I54" i="1" s="1"/>
  <c r="H53" i="1"/>
  <c r="I53" i="1" s="1"/>
  <c r="H52" i="1"/>
  <c r="I52" i="1" s="1"/>
  <c r="H58" i="1" l="1"/>
  <c r="I58" i="1"/>
  <c r="I43" i="1" l="1"/>
  <c r="G45" i="1"/>
  <c r="H41" i="1"/>
  <c r="I41" i="1" s="1"/>
  <c r="H40" i="1"/>
  <c r="I40" i="1" s="1"/>
  <c r="H39" i="1"/>
  <c r="I39" i="1" s="1"/>
  <c r="I42" i="1" l="1"/>
  <c r="I45" i="1" s="1"/>
  <c r="H45" i="1"/>
</calcChain>
</file>

<file path=xl/sharedStrings.xml><?xml version="1.0" encoding="utf-8"?>
<sst xmlns="http://schemas.openxmlformats.org/spreadsheetml/2006/main" count="133" uniqueCount="80">
  <si>
    <t xml:space="preserve"> </t>
  </si>
  <si>
    <t>Revisado por:</t>
  </si>
  <si>
    <t>Fecha en  la que se cumple la obligación de desempeño</t>
  </si>
  <si>
    <t xml:space="preserve">Diferencias </t>
  </si>
  <si>
    <t>Fecha factura</t>
  </si>
  <si>
    <t>Cliente</t>
  </si>
  <si>
    <t>Descripción</t>
  </si>
  <si>
    <t>Subtotal</t>
  </si>
  <si>
    <t>IVA</t>
  </si>
  <si>
    <t>Total</t>
  </si>
  <si>
    <t>A</t>
  </si>
  <si>
    <t>B</t>
  </si>
  <si>
    <t>Sumatoria</t>
  </si>
  <si>
    <t>COMPAÑÍA MODELO S.A.</t>
  </si>
  <si>
    <t>Desarrollo:</t>
  </si>
  <si>
    <t>XX</t>
  </si>
  <si>
    <t>AL 31 DE DICIEMBRE DE 202X</t>
  </si>
  <si>
    <t>Notas aclaratorias:</t>
  </si>
  <si>
    <t>Base de decisión: Materialidad</t>
  </si>
  <si>
    <t>General</t>
  </si>
  <si>
    <t>XXX.XXX</t>
  </si>
  <si>
    <t>Desempeño</t>
  </si>
  <si>
    <t>Errores Triviales</t>
  </si>
  <si>
    <t>a)</t>
  </si>
  <si>
    <t>b)</t>
  </si>
  <si>
    <t>c)</t>
  </si>
  <si>
    <t>1500.07</t>
  </si>
  <si>
    <t>FECHA DE CORTE: _/_/202X</t>
  </si>
  <si>
    <t>Preliminar</t>
  </si>
  <si>
    <t>1.-</t>
  </si>
  <si>
    <t>2.-</t>
  </si>
  <si>
    <t>3.-</t>
  </si>
  <si>
    <t>4.-</t>
  </si>
  <si>
    <t>Documentar el papel de trabajo y concluir en función del objetivo.</t>
  </si>
  <si>
    <t>Preparado por:</t>
  </si>
  <si>
    <t>Ref.</t>
  </si>
  <si>
    <t>Objetivo:</t>
  </si>
  <si>
    <t>Validar la integridad del registro del transacciones de la Compañía dentro del período respectivo a la fecha de nuestra revisión.</t>
  </si>
  <si>
    <t xml:space="preserve">Final </t>
  </si>
  <si>
    <t>Procedimientos:</t>
  </si>
  <si>
    <t xml:space="preserve">PRUEBA DE CORTE DOCUMENTARIO INGRESOS </t>
  </si>
  <si>
    <t>Verificar que las transacciones se hayan registrado dentro del periodo que corresponde.</t>
  </si>
  <si>
    <t xml:space="preserve">Nro. de factura </t>
  </si>
  <si>
    <t>Primeras facturas 202X+1</t>
  </si>
  <si>
    <t>Últimas facturas 202X</t>
  </si>
  <si>
    <t>Marcas de auditoría:</t>
  </si>
  <si>
    <t>Observaciones:</t>
  </si>
  <si>
    <t>Obs.1</t>
  </si>
  <si>
    <t>Obs.2</t>
  </si>
  <si>
    <t>Obs.3</t>
  </si>
  <si>
    <t>Conclusión:</t>
  </si>
  <si>
    <t>***Concluir en función al objetivo</t>
  </si>
  <si>
    <t>Verificaciones:</t>
  </si>
  <si>
    <t>Validar que las transacciones solicitadas cuenten con los sustentos correspondientes.</t>
  </si>
  <si>
    <t>Solicitar a la Compañía las 5 primeras facturas, notas de crédito y guías de remisión del periodo 202X+1</t>
  </si>
  <si>
    <t>Solicitar a la Compañía las 5 últimas facturas, notas de crédito y guías de remisión del periodo 202X</t>
  </si>
  <si>
    <t>C</t>
  </si>
  <si>
    <t xml:space="preserve">Análisis según auditoría </t>
  </si>
  <si>
    <t>Facturas</t>
  </si>
  <si>
    <t xml:space="preserve">Año de servicio </t>
  </si>
  <si>
    <t>Últimas notas de crédito 202X</t>
  </si>
  <si>
    <t>Primeras notas de crédito 202X+1</t>
  </si>
  <si>
    <t>Notas de crédito</t>
  </si>
  <si>
    <t xml:space="preserve">Notas de crédito </t>
  </si>
  <si>
    <t xml:space="preserve">Nro. de nota de crédito </t>
  </si>
  <si>
    <t xml:space="preserve">Fecha nota de crédito </t>
  </si>
  <si>
    <t xml:space="preserve">Nro. factura que afecta </t>
  </si>
  <si>
    <t xml:space="preserve">Año de emisión </t>
  </si>
  <si>
    <t xml:space="preserve">Año en el que se afecta el ingreso </t>
  </si>
  <si>
    <t>Últimas guías de remisión 202X</t>
  </si>
  <si>
    <t>Primeras guías de remisión 202X+1</t>
  </si>
  <si>
    <t xml:space="preserve">Guías de remisión </t>
  </si>
  <si>
    <t xml:space="preserve">Nro. de guía de remisión </t>
  </si>
  <si>
    <t xml:space="preserve">Fecha de guía de remisión </t>
  </si>
  <si>
    <t>Cantidad</t>
  </si>
  <si>
    <t>Detalle</t>
  </si>
  <si>
    <t>Motivo de translado</t>
  </si>
  <si>
    <t>Cálculos de Auditoría</t>
  </si>
  <si>
    <t xml:space="preserve">Documentación de sustento </t>
  </si>
  <si>
    <t xml:space="preserve">Nro. de factura a la que afecta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</si>
</sst>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[$$-300A]* #,##0_ ;_ [$$-300A]* \-#,##0_ ;_ [$$-300A]* &quot;-&quot;_ ;_ @_ 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b/>
      <i/>
      <u/>
      <sz val="10"/>
      <name val="Tahoma"/>
      <family val="2"/>
    </font>
    <font>
      <b/>
      <i/>
      <u/>
      <sz val="10"/>
      <color theme="1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b/>
      <sz val="10"/>
      <color rgb="FFFF0000"/>
      <name val="Marlett"/>
      <charset val="2"/>
    </font>
    <font>
      <sz val="10"/>
      <color theme="1"/>
      <name val="Marlett"/>
      <charset val="2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name val="Tahoma"/>
      <family val="2"/>
    </font>
    <font>
      <sz val="10"/>
      <color rgb="FF002060"/>
      <name val="Tahoma"/>
      <family val="2"/>
    </font>
    <font>
      <sz val="10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 tint="-0.499984740745262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14" fillId="0" borderId="0"/>
    <xf numFmtId="0" fontId="15" fillId="0" borderId="0"/>
    <xf numFmtId="0" fontId="15" fillId="0" borderId="0"/>
    <xf numFmtId="0" fontId="15" fillId="0" borderId="0"/>
  </cellStyleXfs>
  <cellXfs count="73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6" fontId="4" fillId="0" borderId="0" xfId="0" applyNumberFormat="1" applyFont="1"/>
    <xf numFmtId="43" fontId="5" fillId="0" borderId="5" xfId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166" fontId="5" fillId="0" borderId="0" xfId="0" applyNumberFormat="1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left" indent="1"/>
    </xf>
    <xf numFmtId="0" fontId="5" fillId="0" borderId="0" xfId="0" applyFont="1"/>
    <xf numFmtId="43" fontId="5" fillId="0" borderId="0" xfId="1" applyFont="1" applyFill="1" applyBorder="1"/>
    <xf numFmtId="0" fontId="10" fillId="0" borderId="0" xfId="0" applyFont="1" applyAlignment="1" applyProtection="1">
      <alignment horizontal="left" vertical="center"/>
      <protection hidden="1"/>
    </xf>
    <xf numFmtId="0" fontId="10" fillId="0" borderId="0" xfId="0" applyFont="1" applyAlignment="1">
      <alignment horizontal="left" vertical="top"/>
    </xf>
    <xf numFmtId="0" fontId="11" fillId="0" borderId="0" xfId="0" applyFont="1"/>
    <xf numFmtId="0" fontId="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" fillId="0" borderId="0" xfId="0" applyFont="1"/>
    <xf numFmtId="0" fontId="16" fillId="3" borderId="0" xfId="4" applyFont="1" applyFill="1" applyAlignment="1">
      <alignment horizontal="left"/>
    </xf>
    <xf numFmtId="0" fontId="1" fillId="0" borderId="1" xfId="5" applyFont="1" applyBorder="1" applyAlignment="1">
      <alignment horizontal="center"/>
    </xf>
    <xf numFmtId="0" fontId="1" fillId="0" borderId="6" xfId="0" applyFont="1" applyBorder="1"/>
    <xf numFmtId="0" fontId="10" fillId="0" borderId="0" xfId="7" applyFont="1"/>
    <xf numFmtId="0" fontId="17" fillId="0" borderId="0" xfId="0" applyFont="1"/>
    <xf numFmtId="0" fontId="6" fillId="3" borderId="0" xfId="6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5" fontId="4" fillId="0" borderId="1" xfId="1" applyNumberFormat="1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7" fillId="0" borderId="0" xfId="6" applyFont="1" applyAlignment="1">
      <alignment horizontal="center" vertical="center"/>
    </xf>
    <xf numFmtId="0" fontId="7" fillId="3" borderId="0" xfId="5" applyFont="1" applyFill="1" applyAlignment="1">
      <alignment horizontal="center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0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4" fillId="0" borderId="0" xfId="0" applyFont="1" applyBorder="1"/>
    <xf numFmtId="0" fontId="6" fillId="0" borderId="1" xfId="5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Fill="1" applyBorder="1" applyAlignment="1" applyProtection="1">
      <alignment horizontal="center" vertical="center" wrapText="1"/>
      <protection hidden="1"/>
    </xf>
    <xf numFmtId="0" fontId="7" fillId="0" borderId="1" xfId="0" applyFont="1" applyFill="1" applyBorder="1" applyAlignment="1" applyProtection="1">
      <alignment horizontal="center" vertical="center"/>
      <protection hidden="1"/>
    </xf>
    <xf numFmtId="0" fontId="4" fillId="0" borderId="0" xfId="0" applyFont="1" applyFill="1"/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0" fillId="2" borderId="2" xfId="0" applyFont="1" applyFill="1" applyBorder="1" applyAlignment="1" applyProtection="1">
      <alignment horizontal="center" vertical="center"/>
      <protection hidden="1"/>
    </xf>
    <xf numFmtId="0" fontId="10" fillId="2" borderId="1" xfId="5" applyFont="1" applyFill="1" applyBorder="1" applyAlignment="1" applyProtection="1">
      <alignment horizontal="center" vertical="center"/>
      <protection hidden="1"/>
    </xf>
    <xf numFmtId="165" fontId="7" fillId="0" borderId="1" xfId="2" applyNumberFormat="1" applyFont="1" applyFill="1" applyBorder="1" applyAlignment="1">
      <alignment horizontal="center" vertical="center"/>
    </xf>
    <xf numFmtId="0" fontId="6" fillId="0" borderId="0" xfId="5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Fill="1" applyBorder="1" applyAlignment="1" applyProtection="1">
      <alignment horizontal="center" vertical="center"/>
      <protection hidden="1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Border="1" applyAlignment="1">
      <alignment horizontal="left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</cellXfs>
  <cellStyles count="8">
    <cellStyle name="Millares" xfId="1" builtinId="3"/>
    <cellStyle name="Millares 2 31" xfId="2" xr:uid="{76CE1081-0964-499E-9F5F-9D282D7D7E26}"/>
    <cellStyle name="Normal" xfId="0" builtinId="0"/>
    <cellStyle name="Normal 2 10" xfId="5" xr:uid="{13E86282-A594-49C4-9451-6DF3A8FD1271}"/>
    <cellStyle name="Normal 2 2" xfId="6" xr:uid="{6FC27275-5564-40F7-A4A4-73679FA4704E}"/>
    <cellStyle name="Normal 4 2" xfId="3" xr:uid="{7DFAC25F-45C6-4558-A7D4-58C2D324E4F6}"/>
    <cellStyle name="Normal 6" xfId="7" xr:uid="{3B6AFD3A-AF13-425B-B7A1-5384EF1D181E}"/>
    <cellStyle name="Normal_2102.1.1 Analisis de Partidas Conciliatorias" xfId="4" xr:uid="{B6188415-79A6-4503-BECF-5B99EF2653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204868</xdr:colOff>
      <xdr:row>113</xdr:row>
      <xdr:rowOff>40912</xdr:rowOff>
    </xdr:from>
    <xdr:ext cx="158750" cy="158750"/>
    <xdr:pic>
      <xdr:nvPicPr>
        <xdr:cNvPr id="3" name="Imagen 2">
          <a:extLst>
            <a:ext uri="{FF2B5EF4-FFF2-40B4-BE49-F238E27FC236}">
              <a16:creationId xmlns:a16="http://schemas.microsoft.com/office/drawing/2014/main" id="{9FA4D038-2BB0-4AD8-8433-554003E00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868" y="1916235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689510</xdr:colOff>
      <xdr:row>44</xdr:row>
      <xdr:rowOff>27660</xdr:rowOff>
    </xdr:from>
    <xdr:ext cx="174625" cy="174625"/>
    <xdr:pic>
      <xdr:nvPicPr>
        <xdr:cNvPr id="6" name="Imagen 5">
          <a:extLst>
            <a:ext uri="{FF2B5EF4-FFF2-40B4-BE49-F238E27FC236}">
              <a16:creationId xmlns:a16="http://schemas.microsoft.com/office/drawing/2014/main" id="{635E4EED-18C6-47A9-9111-CE703E204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3460" y="762861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261257</xdr:colOff>
      <xdr:row>35</xdr:row>
      <xdr:rowOff>72571</xdr:rowOff>
    </xdr:from>
    <xdr:to>
      <xdr:col>8</xdr:col>
      <xdr:colOff>716643</xdr:colOff>
      <xdr:row>35</xdr:row>
      <xdr:rowOff>73152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59A02457-9989-B873-17E5-0CDB27B524BE}"/>
            </a:ext>
          </a:extLst>
        </xdr:cNvPr>
        <xdr:cNvCxnSpPr/>
      </xdr:nvCxnSpPr>
      <xdr:spPr>
        <a:xfrm flipV="1">
          <a:off x="832757" y="5887357"/>
          <a:ext cx="7213600" cy="58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784760</xdr:colOff>
      <xdr:row>56</xdr:row>
      <xdr:rowOff>180060</xdr:rowOff>
    </xdr:from>
    <xdr:ext cx="174625" cy="174625"/>
    <xdr:pic>
      <xdr:nvPicPr>
        <xdr:cNvPr id="26" name="Imagen 25">
          <a:extLst>
            <a:ext uri="{FF2B5EF4-FFF2-40B4-BE49-F238E27FC236}">
              <a16:creationId xmlns:a16="http://schemas.microsoft.com/office/drawing/2014/main" id="{30DA1545-680A-41A5-906B-3EB06CC69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8710" y="1013686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261257</xdr:colOff>
      <xdr:row>48</xdr:row>
      <xdr:rowOff>72571</xdr:rowOff>
    </xdr:from>
    <xdr:to>
      <xdr:col>8</xdr:col>
      <xdr:colOff>716643</xdr:colOff>
      <xdr:row>48</xdr:row>
      <xdr:rowOff>73152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9E8FDA8C-6371-48CC-9C86-3A9DC7716BB4}"/>
            </a:ext>
          </a:extLst>
        </xdr:cNvPr>
        <xdr:cNvCxnSpPr/>
      </xdr:nvCxnSpPr>
      <xdr:spPr>
        <a:xfrm flipV="1">
          <a:off x="832757" y="5887357"/>
          <a:ext cx="7213600" cy="58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200704</xdr:colOff>
      <xdr:row>112</xdr:row>
      <xdr:rowOff>22905</xdr:rowOff>
    </xdr:from>
    <xdr:to>
      <xdr:col>0</xdr:col>
      <xdr:colOff>375329</xdr:colOff>
      <xdr:row>113</xdr:row>
      <xdr:rowOff>38780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553A945A-5DC4-439B-9362-FC40D1CC6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04" y="18850655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178514</xdr:colOff>
      <xdr:row>34</xdr:row>
      <xdr:rowOff>127714</xdr:rowOff>
    </xdr:from>
    <xdr:to>
      <xdr:col>10</xdr:col>
      <xdr:colOff>199311</xdr:colOff>
      <xdr:row>36</xdr:row>
      <xdr:rowOff>21511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36D2F0-38B2-4EB1-8ABD-FEE6ED27A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5114" y="5366464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199311</xdr:colOff>
      <xdr:row>35</xdr:row>
      <xdr:rowOff>74613</xdr:rowOff>
    </xdr:from>
    <xdr:to>
      <xdr:col>12</xdr:col>
      <xdr:colOff>0</xdr:colOff>
      <xdr:row>35</xdr:row>
      <xdr:rowOff>76200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59ED4501-A16C-4721-B143-DC47CA6B86AD}"/>
            </a:ext>
          </a:extLst>
        </xdr:cNvPr>
        <xdr:cNvCxnSpPr>
          <a:stCxn id="24" idx="3"/>
        </xdr:cNvCxnSpPr>
      </xdr:nvCxnSpPr>
      <xdr:spPr>
        <a:xfrm>
          <a:off x="10016411" y="5472113"/>
          <a:ext cx="2181939" cy="158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178514</xdr:colOff>
      <xdr:row>47</xdr:row>
      <xdr:rowOff>127714</xdr:rowOff>
    </xdr:from>
    <xdr:ext cx="211297" cy="211297"/>
    <xdr:pic>
      <xdr:nvPicPr>
        <xdr:cNvPr id="25" name="Imagen 24">
          <a:extLst>
            <a:ext uri="{FF2B5EF4-FFF2-40B4-BE49-F238E27FC236}">
              <a16:creationId xmlns:a16="http://schemas.microsoft.com/office/drawing/2014/main" id="{C6833FCE-E730-494C-9C48-E5B65641D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5114" y="5366464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199311</xdr:colOff>
      <xdr:row>48</xdr:row>
      <xdr:rowOff>74613</xdr:rowOff>
    </xdr:from>
    <xdr:to>
      <xdr:col>12</xdr:col>
      <xdr:colOff>0</xdr:colOff>
      <xdr:row>48</xdr:row>
      <xdr:rowOff>76200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73C08E5E-04FC-402C-8A71-64836CFF7743}"/>
            </a:ext>
          </a:extLst>
        </xdr:cNvPr>
        <xdr:cNvCxnSpPr>
          <a:stCxn id="25" idx="3"/>
        </xdr:cNvCxnSpPr>
      </xdr:nvCxnSpPr>
      <xdr:spPr>
        <a:xfrm>
          <a:off x="10016411" y="5472113"/>
          <a:ext cx="2181939" cy="158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561896</xdr:colOff>
      <xdr:row>34</xdr:row>
      <xdr:rowOff>124309</xdr:rowOff>
    </xdr:from>
    <xdr:to>
      <xdr:col>1</xdr:col>
      <xdr:colOff>201693</xdr:colOff>
      <xdr:row>36</xdr:row>
      <xdr:rowOff>5712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39A5AB80-BF39-4839-BFC7-732C92BCD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896" y="5363059"/>
          <a:ext cx="211297" cy="198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47</xdr:row>
      <xdr:rowOff>158750</xdr:rowOff>
    </xdr:from>
    <xdr:to>
      <xdr:col>1</xdr:col>
      <xdr:colOff>230347</xdr:colOff>
      <xdr:row>48</xdr:row>
      <xdr:rowOff>173503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9215BC88-6F21-4A3A-BB92-6EF6D9104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8070850"/>
          <a:ext cx="211297" cy="198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689510</xdr:colOff>
      <xdr:row>71</xdr:row>
      <xdr:rowOff>27660</xdr:rowOff>
    </xdr:from>
    <xdr:ext cx="174625" cy="174625"/>
    <xdr:pic>
      <xdr:nvPicPr>
        <xdr:cNvPr id="40" name="Imagen 39">
          <a:extLst>
            <a:ext uri="{FF2B5EF4-FFF2-40B4-BE49-F238E27FC236}">
              <a16:creationId xmlns:a16="http://schemas.microsoft.com/office/drawing/2014/main" id="{3EB280A6-C392-45C5-A628-011278C57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4260" y="721586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261257</xdr:colOff>
      <xdr:row>62</xdr:row>
      <xdr:rowOff>72571</xdr:rowOff>
    </xdr:from>
    <xdr:to>
      <xdr:col>8</xdr:col>
      <xdr:colOff>716643</xdr:colOff>
      <xdr:row>62</xdr:row>
      <xdr:rowOff>73152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38340F54-4FFF-45B8-B7FA-46AEDF2EE2EF}"/>
            </a:ext>
          </a:extLst>
        </xdr:cNvPr>
        <xdr:cNvCxnSpPr/>
      </xdr:nvCxnSpPr>
      <xdr:spPr>
        <a:xfrm flipV="1">
          <a:off x="832757" y="5311321"/>
          <a:ext cx="8716736" cy="58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784760</xdr:colOff>
      <xdr:row>83</xdr:row>
      <xdr:rowOff>180060</xdr:rowOff>
    </xdr:from>
    <xdr:ext cx="174625" cy="174625"/>
    <xdr:pic>
      <xdr:nvPicPr>
        <xdr:cNvPr id="42" name="Imagen 41">
          <a:extLst>
            <a:ext uri="{FF2B5EF4-FFF2-40B4-BE49-F238E27FC236}">
              <a16:creationId xmlns:a16="http://schemas.microsoft.com/office/drawing/2014/main" id="{98548F81-7AA2-43A6-9493-1118F8D84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9510" y="9882860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261257</xdr:colOff>
      <xdr:row>75</xdr:row>
      <xdr:rowOff>72571</xdr:rowOff>
    </xdr:from>
    <xdr:to>
      <xdr:col>8</xdr:col>
      <xdr:colOff>716643</xdr:colOff>
      <xdr:row>75</xdr:row>
      <xdr:rowOff>73152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A912719B-9B08-4BEC-A8E7-681D771B9937}"/>
            </a:ext>
          </a:extLst>
        </xdr:cNvPr>
        <xdr:cNvCxnSpPr/>
      </xdr:nvCxnSpPr>
      <xdr:spPr>
        <a:xfrm flipV="1">
          <a:off x="832757" y="8010071"/>
          <a:ext cx="8716736" cy="58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178514</xdr:colOff>
      <xdr:row>61</xdr:row>
      <xdr:rowOff>127714</xdr:rowOff>
    </xdr:from>
    <xdr:ext cx="211297" cy="211297"/>
    <xdr:pic>
      <xdr:nvPicPr>
        <xdr:cNvPr id="45" name="Imagen 44">
          <a:extLst>
            <a:ext uri="{FF2B5EF4-FFF2-40B4-BE49-F238E27FC236}">
              <a16:creationId xmlns:a16="http://schemas.microsoft.com/office/drawing/2014/main" id="{C9542432-3B37-4E33-B57B-854CEF4B5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5114" y="5207714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199311</xdr:colOff>
      <xdr:row>62</xdr:row>
      <xdr:rowOff>74613</xdr:rowOff>
    </xdr:from>
    <xdr:to>
      <xdr:col>12</xdr:col>
      <xdr:colOff>0</xdr:colOff>
      <xdr:row>62</xdr:row>
      <xdr:rowOff>76200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1FD3D628-90C0-4613-A882-CD92F802B9FE}"/>
            </a:ext>
          </a:extLst>
        </xdr:cNvPr>
        <xdr:cNvCxnSpPr>
          <a:stCxn id="45" idx="3"/>
        </xdr:cNvCxnSpPr>
      </xdr:nvCxnSpPr>
      <xdr:spPr>
        <a:xfrm>
          <a:off x="10016411" y="5313363"/>
          <a:ext cx="2181939" cy="158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178514</xdr:colOff>
      <xdr:row>74</xdr:row>
      <xdr:rowOff>127714</xdr:rowOff>
    </xdr:from>
    <xdr:ext cx="211297" cy="211297"/>
    <xdr:pic>
      <xdr:nvPicPr>
        <xdr:cNvPr id="47" name="Imagen 46">
          <a:extLst>
            <a:ext uri="{FF2B5EF4-FFF2-40B4-BE49-F238E27FC236}">
              <a16:creationId xmlns:a16="http://schemas.microsoft.com/office/drawing/2014/main" id="{5414C979-E683-4860-A5AD-708B65E17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5114" y="7881064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199311</xdr:colOff>
      <xdr:row>75</xdr:row>
      <xdr:rowOff>74613</xdr:rowOff>
    </xdr:from>
    <xdr:to>
      <xdr:col>12</xdr:col>
      <xdr:colOff>0</xdr:colOff>
      <xdr:row>75</xdr:row>
      <xdr:rowOff>76200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9779627D-8083-4163-9332-01A97E9F4E63}"/>
            </a:ext>
          </a:extLst>
        </xdr:cNvPr>
        <xdr:cNvCxnSpPr>
          <a:stCxn id="47" idx="3"/>
        </xdr:cNvCxnSpPr>
      </xdr:nvCxnSpPr>
      <xdr:spPr>
        <a:xfrm>
          <a:off x="10016411" y="8012113"/>
          <a:ext cx="2181939" cy="158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561896</xdr:colOff>
      <xdr:row>61</xdr:row>
      <xdr:rowOff>124309</xdr:rowOff>
    </xdr:from>
    <xdr:ext cx="211297" cy="198903"/>
    <xdr:pic>
      <xdr:nvPicPr>
        <xdr:cNvPr id="49" name="Imagen 48">
          <a:extLst>
            <a:ext uri="{FF2B5EF4-FFF2-40B4-BE49-F238E27FC236}">
              <a16:creationId xmlns:a16="http://schemas.microsoft.com/office/drawing/2014/main" id="{4073ECE2-4951-421D-A6BB-B3E8BA5FE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896" y="5204309"/>
          <a:ext cx="211297" cy="198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19050</xdr:colOff>
      <xdr:row>74</xdr:row>
      <xdr:rowOff>158750</xdr:rowOff>
    </xdr:from>
    <xdr:ext cx="211297" cy="198903"/>
    <xdr:pic>
      <xdr:nvPicPr>
        <xdr:cNvPr id="50" name="Imagen 49">
          <a:extLst>
            <a:ext uri="{FF2B5EF4-FFF2-40B4-BE49-F238E27FC236}">
              <a16:creationId xmlns:a16="http://schemas.microsoft.com/office/drawing/2014/main" id="{E8F02975-9D2C-4AF8-ADF4-B569C2177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7912100"/>
          <a:ext cx="211297" cy="198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261257</xdr:colOff>
      <xdr:row>88</xdr:row>
      <xdr:rowOff>72571</xdr:rowOff>
    </xdr:from>
    <xdr:to>
      <xdr:col>8</xdr:col>
      <xdr:colOff>716643</xdr:colOff>
      <xdr:row>88</xdr:row>
      <xdr:rowOff>73152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15954085-B5DF-407D-A46D-1434C773B06D}"/>
            </a:ext>
          </a:extLst>
        </xdr:cNvPr>
        <xdr:cNvCxnSpPr/>
      </xdr:nvCxnSpPr>
      <xdr:spPr>
        <a:xfrm flipV="1">
          <a:off x="832757" y="10511971"/>
          <a:ext cx="8716736" cy="58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261257</xdr:colOff>
      <xdr:row>100</xdr:row>
      <xdr:rowOff>72571</xdr:rowOff>
    </xdr:from>
    <xdr:to>
      <xdr:col>8</xdr:col>
      <xdr:colOff>716643</xdr:colOff>
      <xdr:row>100</xdr:row>
      <xdr:rowOff>73152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1F662671-CEBA-465B-BCDF-2AF9BB643383}"/>
            </a:ext>
          </a:extLst>
        </xdr:cNvPr>
        <xdr:cNvCxnSpPr/>
      </xdr:nvCxnSpPr>
      <xdr:spPr>
        <a:xfrm flipV="1">
          <a:off x="832757" y="12677321"/>
          <a:ext cx="8716736" cy="58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178514</xdr:colOff>
      <xdr:row>87</xdr:row>
      <xdr:rowOff>127714</xdr:rowOff>
    </xdr:from>
    <xdr:ext cx="211297" cy="211297"/>
    <xdr:pic>
      <xdr:nvPicPr>
        <xdr:cNvPr id="55" name="Imagen 54">
          <a:extLst>
            <a:ext uri="{FF2B5EF4-FFF2-40B4-BE49-F238E27FC236}">
              <a16:creationId xmlns:a16="http://schemas.microsoft.com/office/drawing/2014/main" id="{EAEC59CB-FE4F-4380-8F34-0797BB9BD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5114" y="10408364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199311</xdr:colOff>
      <xdr:row>88</xdr:row>
      <xdr:rowOff>74613</xdr:rowOff>
    </xdr:from>
    <xdr:to>
      <xdr:col>12</xdr:col>
      <xdr:colOff>0</xdr:colOff>
      <xdr:row>88</xdr:row>
      <xdr:rowOff>76200</xdr:rowOff>
    </xdr:to>
    <xdr:cxnSp macro="">
      <xdr:nvCxnSpPr>
        <xdr:cNvPr id="56" name="Conector recto de flecha 55">
          <a:extLst>
            <a:ext uri="{FF2B5EF4-FFF2-40B4-BE49-F238E27FC236}">
              <a16:creationId xmlns:a16="http://schemas.microsoft.com/office/drawing/2014/main" id="{418B1751-B802-4066-AC46-1F2F79AAA0BA}"/>
            </a:ext>
          </a:extLst>
        </xdr:cNvPr>
        <xdr:cNvCxnSpPr>
          <a:stCxn id="55" idx="3"/>
        </xdr:cNvCxnSpPr>
      </xdr:nvCxnSpPr>
      <xdr:spPr>
        <a:xfrm>
          <a:off x="10016411" y="10514013"/>
          <a:ext cx="2181939" cy="158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178514</xdr:colOff>
      <xdr:row>99</xdr:row>
      <xdr:rowOff>127714</xdr:rowOff>
    </xdr:from>
    <xdr:ext cx="211297" cy="211297"/>
    <xdr:pic>
      <xdr:nvPicPr>
        <xdr:cNvPr id="57" name="Imagen 56">
          <a:extLst>
            <a:ext uri="{FF2B5EF4-FFF2-40B4-BE49-F238E27FC236}">
              <a16:creationId xmlns:a16="http://schemas.microsoft.com/office/drawing/2014/main" id="{430D6896-F465-44F2-928B-46A6A02B1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5114" y="12573714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199311</xdr:colOff>
      <xdr:row>100</xdr:row>
      <xdr:rowOff>74613</xdr:rowOff>
    </xdr:from>
    <xdr:to>
      <xdr:col>12</xdr:col>
      <xdr:colOff>0</xdr:colOff>
      <xdr:row>100</xdr:row>
      <xdr:rowOff>76200</xdr:rowOff>
    </xdr:to>
    <xdr:cxnSp macro="">
      <xdr:nvCxnSpPr>
        <xdr:cNvPr id="58" name="Conector recto de flecha 57">
          <a:extLst>
            <a:ext uri="{FF2B5EF4-FFF2-40B4-BE49-F238E27FC236}">
              <a16:creationId xmlns:a16="http://schemas.microsoft.com/office/drawing/2014/main" id="{31D651B8-C53F-4EBD-962E-DD1ED0D04023}"/>
            </a:ext>
          </a:extLst>
        </xdr:cNvPr>
        <xdr:cNvCxnSpPr>
          <a:stCxn id="57" idx="3"/>
        </xdr:cNvCxnSpPr>
      </xdr:nvCxnSpPr>
      <xdr:spPr>
        <a:xfrm>
          <a:off x="10016411" y="12679363"/>
          <a:ext cx="2181939" cy="158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561896</xdr:colOff>
      <xdr:row>87</xdr:row>
      <xdr:rowOff>124309</xdr:rowOff>
    </xdr:from>
    <xdr:ext cx="211297" cy="198903"/>
    <xdr:pic>
      <xdr:nvPicPr>
        <xdr:cNvPr id="59" name="Imagen 58">
          <a:extLst>
            <a:ext uri="{FF2B5EF4-FFF2-40B4-BE49-F238E27FC236}">
              <a16:creationId xmlns:a16="http://schemas.microsoft.com/office/drawing/2014/main" id="{FEB2FA7A-DFB6-4893-83AB-C8102CDE4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896" y="10404959"/>
          <a:ext cx="211297" cy="198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19050</xdr:colOff>
      <xdr:row>99</xdr:row>
      <xdr:rowOff>158750</xdr:rowOff>
    </xdr:from>
    <xdr:ext cx="211297" cy="198903"/>
    <xdr:pic>
      <xdr:nvPicPr>
        <xdr:cNvPr id="60" name="Imagen 59">
          <a:extLst>
            <a:ext uri="{FF2B5EF4-FFF2-40B4-BE49-F238E27FC236}">
              <a16:creationId xmlns:a16="http://schemas.microsoft.com/office/drawing/2014/main" id="{94C19916-6598-49D5-9483-9A2EF7FCA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2604750"/>
          <a:ext cx="211297" cy="198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196136</xdr:colOff>
      <xdr:row>114</xdr:row>
      <xdr:rowOff>17260</xdr:rowOff>
    </xdr:from>
    <xdr:ext cx="174625" cy="164383"/>
    <xdr:pic>
      <xdr:nvPicPr>
        <xdr:cNvPr id="61" name="Imagen 60">
          <a:extLst>
            <a:ext uri="{FF2B5EF4-FFF2-40B4-BE49-F238E27FC236}">
              <a16:creationId xmlns:a16="http://schemas.microsoft.com/office/drawing/2014/main" id="{56C0D953-45D3-4299-B57A-7EA2EFBCD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36" y="19251410"/>
          <a:ext cx="174625" cy="164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3600">
            <a:solidFill>
              <a:srgbClr val="FF0000"/>
            </a:solidFill>
            <a:latin typeface="Marlett" pitchFamily="2" charset="2"/>
            <a:ea typeface="Tahoma" panose="020B0604030504040204" pitchFamily="34" charset="0"/>
            <a:cs typeface="Tahoma" panose="020B0604030504040204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35FC-F67B-4892-989F-1BCA54AE72F2}">
  <dimension ref="A1:Q137"/>
  <sheetViews>
    <sheetView showGridLines="0" tabSelected="1" zoomScale="80" zoomScaleNormal="80" workbookViewId="0"/>
  </sheetViews>
  <sheetFormatPr baseColWidth="10" defaultColWidth="11.36328125" defaultRowHeight="12.5" x14ac:dyDescent="0.25"/>
  <cols>
    <col min="1" max="1" width="8.1796875" style="1" customWidth="1"/>
    <col min="2" max="2" width="19.26953125" style="1" customWidth="1"/>
    <col min="3" max="4" width="18.90625" style="1" customWidth="1"/>
    <col min="5" max="5" width="24.26953125" style="1" customWidth="1"/>
    <col min="6" max="6" width="14.1796875" style="1" customWidth="1"/>
    <col min="7" max="7" width="15.54296875" style="1" customWidth="1"/>
    <col min="8" max="9" width="11.36328125" style="1"/>
    <col min="10" max="10" width="2.7265625" style="1" customWidth="1"/>
    <col min="11" max="11" width="24" style="1" customWidth="1"/>
    <col min="12" max="12" width="15.08984375" style="1" customWidth="1"/>
    <col min="13" max="13" width="11.81640625" style="1" customWidth="1"/>
    <col min="14" max="14" width="18.81640625" style="1" customWidth="1"/>
    <col min="15" max="15" width="14" style="1" customWidth="1"/>
    <col min="16" max="16" width="15.6328125" style="1" customWidth="1"/>
    <col min="17" max="16384" width="11.36328125" style="1"/>
  </cols>
  <sheetData>
    <row r="1" spans="1:17" ht="22" customHeight="1" x14ac:dyDescent="0.25">
      <c r="A1" s="1" t="s">
        <v>0</v>
      </c>
      <c r="B1" s="1" t="s">
        <v>0</v>
      </c>
    </row>
    <row r="2" spans="1:17" x14ac:dyDescent="0.25">
      <c r="K2" s="58" t="s">
        <v>34</v>
      </c>
      <c r="L2" s="59" t="s">
        <v>1</v>
      </c>
      <c r="M2" s="60" t="s">
        <v>35</v>
      </c>
    </row>
    <row r="3" spans="1:17" x14ac:dyDescent="0.25">
      <c r="B3" s="14"/>
      <c r="F3" s="15"/>
      <c r="G3" s="15"/>
      <c r="H3" s="15"/>
      <c r="I3" s="15"/>
      <c r="J3" s="16"/>
      <c r="K3" s="54" t="s">
        <v>15</v>
      </c>
      <c r="L3" s="55" t="s">
        <v>15</v>
      </c>
      <c r="M3" s="56" t="s">
        <v>26</v>
      </c>
      <c r="Q3" s="15"/>
    </row>
    <row r="4" spans="1:17" x14ac:dyDescent="0.25">
      <c r="B4" s="14"/>
      <c r="F4" s="15"/>
      <c r="G4" s="15"/>
      <c r="H4" s="15"/>
      <c r="I4" s="15"/>
      <c r="J4" s="16"/>
      <c r="K4" s="62"/>
      <c r="L4" s="63"/>
      <c r="M4" s="64"/>
      <c r="Q4" s="15"/>
    </row>
    <row r="5" spans="1:17" x14ac:dyDescent="0.25">
      <c r="B5" s="17" t="s">
        <v>13</v>
      </c>
      <c r="F5" s="15"/>
      <c r="K5" s="57"/>
      <c r="L5" s="57"/>
      <c r="M5" s="57"/>
    </row>
    <row r="6" spans="1:17" x14ac:dyDescent="0.25">
      <c r="B6" s="27" t="s">
        <v>40</v>
      </c>
      <c r="C6" s="2"/>
      <c r="D6" s="2"/>
      <c r="E6" s="2"/>
      <c r="F6" s="3"/>
      <c r="K6" s="57"/>
      <c r="L6" s="57"/>
      <c r="M6" s="57"/>
    </row>
    <row r="7" spans="1:17" x14ac:dyDescent="0.25">
      <c r="B7" s="18" t="s">
        <v>16</v>
      </c>
      <c r="C7" s="2"/>
      <c r="D7" s="2"/>
      <c r="E7" s="2"/>
      <c r="F7" s="3"/>
      <c r="K7" s="57"/>
      <c r="L7" s="57"/>
      <c r="M7" s="57"/>
    </row>
    <row r="8" spans="1:17" ht="14.5" x14ac:dyDescent="0.35">
      <c r="B8" s="18" t="s">
        <v>27</v>
      </c>
      <c r="C8" s="2"/>
      <c r="D8" s="2"/>
      <c r="E8" s="2"/>
      <c r="F8" s="3"/>
      <c r="Q8"/>
    </row>
    <row r="9" spans="1:17" ht="3.75" customHeight="1" thickBot="1" x14ac:dyDescent="0.4"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/>
      <c r="O9"/>
      <c r="P9"/>
      <c r="Q9"/>
    </row>
    <row r="10" spans="1:17" ht="15" thickTop="1" x14ac:dyDescent="0.35"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/>
      <c r="O10"/>
      <c r="P10"/>
      <c r="Q10"/>
    </row>
    <row r="11" spans="1:17" x14ac:dyDescent="0.25">
      <c r="B11" s="19" t="s">
        <v>36</v>
      </c>
    </row>
    <row r="12" spans="1:17" ht="6" customHeight="1" x14ac:dyDescent="0.25">
      <c r="B12" s="19"/>
    </row>
    <row r="13" spans="1:17" x14ac:dyDescent="0.25">
      <c r="B13" s="28" t="s">
        <v>37</v>
      </c>
    </row>
    <row r="14" spans="1:17" x14ac:dyDescent="0.25">
      <c r="B14" s="29" t="s">
        <v>53</v>
      </c>
    </row>
    <row r="15" spans="1:17" x14ac:dyDescent="0.25">
      <c r="B15" s="29"/>
    </row>
    <row r="17" spans="1:13" x14ac:dyDescent="0.25">
      <c r="B17" s="19" t="s">
        <v>18</v>
      </c>
      <c r="C17" s="20"/>
      <c r="D17" s="20"/>
    </row>
    <row r="18" spans="1:13" ht="7" customHeight="1" x14ac:dyDescent="0.25">
      <c r="B18" s="19"/>
      <c r="C18" s="20"/>
      <c r="D18" s="20"/>
    </row>
    <row r="19" spans="1:13" x14ac:dyDescent="0.25">
      <c r="A19" s="23"/>
      <c r="B19" s="24"/>
      <c r="C19" s="30" t="s">
        <v>28</v>
      </c>
      <c r="D19" s="30" t="s">
        <v>38</v>
      </c>
    </row>
    <row r="20" spans="1:13" x14ac:dyDescent="0.25">
      <c r="A20" s="23"/>
      <c r="B20" s="31" t="s">
        <v>19</v>
      </c>
      <c r="C20" s="25" t="s">
        <v>20</v>
      </c>
      <c r="D20" s="25" t="s">
        <v>20</v>
      </c>
    </row>
    <row r="21" spans="1:13" x14ac:dyDescent="0.25">
      <c r="A21" s="23"/>
      <c r="B21" s="31" t="s">
        <v>21</v>
      </c>
      <c r="C21" s="25" t="s">
        <v>20</v>
      </c>
      <c r="D21" s="25" t="s">
        <v>20</v>
      </c>
    </row>
    <row r="22" spans="1:13" x14ac:dyDescent="0.25">
      <c r="A22" s="23"/>
      <c r="B22" s="31" t="s">
        <v>22</v>
      </c>
      <c r="C22" s="25" t="s">
        <v>20</v>
      </c>
      <c r="D22" s="25" t="s">
        <v>20</v>
      </c>
    </row>
    <row r="25" spans="1:13" x14ac:dyDescent="0.25">
      <c r="B25" s="19" t="s">
        <v>39</v>
      </c>
    </row>
    <row r="26" spans="1:13" ht="7" customHeight="1" x14ac:dyDescent="0.25">
      <c r="B26" s="19"/>
    </row>
    <row r="27" spans="1:13" x14ac:dyDescent="0.25">
      <c r="A27" s="32" t="s">
        <v>29</v>
      </c>
      <c r="B27" s="4" t="s">
        <v>54</v>
      </c>
    </row>
    <row r="28" spans="1:13" x14ac:dyDescent="0.25">
      <c r="A28" s="32" t="s">
        <v>30</v>
      </c>
      <c r="B28" s="4" t="s">
        <v>55</v>
      </c>
    </row>
    <row r="29" spans="1:13" x14ac:dyDescent="0.25">
      <c r="A29" s="32" t="s">
        <v>31</v>
      </c>
      <c r="B29" s="33" t="s">
        <v>41</v>
      </c>
    </row>
    <row r="30" spans="1:13" x14ac:dyDescent="0.25">
      <c r="A30" s="32" t="s">
        <v>32</v>
      </c>
      <c r="B30" s="23" t="s">
        <v>33</v>
      </c>
    </row>
    <row r="32" spans="1:13" x14ac:dyDescent="0.25">
      <c r="B32" s="19" t="s">
        <v>14</v>
      </c>
      <c r="C32" s="4"/>
      <c r="D32" s="4"/>
      <c r="F32" s="4"/>
      <c r="G32" s="4"/>
      <c r="H32" s="4"/>
      <c r="J32" s="4"/>
      <c r="K32" s="4"/>
      <c r="L32" s="4"/>
      <c r="M32" s="4"/>
    </row>
    <row r="33" spans="2:16" x14ac:dyDescent="0.25">
      <c r="B33" s="19"/>
      <c r="C33" s="4"/>
      <c r="D33" s="4"/>
      <c r="F33" s="4"/>
      <c r="G33" s="4"/>
      <c r="H33" s="4"/>
      <c r="J33" s="4"/>
      <c r="K33" s="4"/>
      <c r="L33" s="4"/>
      <c r="M33" s="4"/>
    </row>
    <row r="34" spans="2:16" x14ac:dyDescent="0.25">
      <c r="B34" s="40" t="s">
        <v>44</v>
      </c>
      <c r="C34" s="4"/>
      <c r="D34" s="4"/>
      <c r="F34" s="4"/>
      <c r="G34" s="4"/>
      <c r="H34" s="4"/>
      <c r="J34" s="4"/>
      <c r="K34" s="4"/>
      <c r="L34" s="4"/>
      <c r="M34" s="4"/>
    </row>
    <row r="35" spans="2:16" x14ac:dyDescent="0.25">
      <c r="B35" s="5"/>
      <c r="C35" s="4"/>
      <c r="D35" s="4"/>
      <c r="F35" s="4"/>
      <c r="G35" s="4"/>
      <c r="H35" s="4"/>
      <c r="J35" s="4"/>
      <c r="K35" s="4"/>
      <c r="L35" s="4"/>
      <c r="M35" s="4"/>
    </row>
    <row r="36" spans="2:16" x14ac:dyDescent="0.25">
      <c r="B36" s="5"/>
      <c r="C36" s="4"/>
      <c r="D36" s="4"/>
      <c r="F36" s="4"/>
      <c r="G36" s="4"/>
      <c r="H36" s="4"/>
      <c r="J36" s="4"/>
      <c r="K36" s="4"/>
      <c r="L36" s="4"/>
      <c r="M36" s="4"/>
    </row>
    <row r="37" spans="2:16" s="41" customFormat="1" ht="14.5" customHeight="1" x14ac:dyDescent="0.35">
      <c r="B37" s="68" t="s">
        <v>58</v>
      </c>
      <c r="C37" s="69"/>
      <c r="D37" s="69"/>
      <c r="E37" s="69"/>
      <c r="F37" s="69"/>
      <c r="G37" s="69"/>
      <c r="H37" s="69"/>
      <c r="I37" s="70"/>
      <c r="J37" s="43"/>
      <c r="K37" s="71" t="s">
        <v>57</v>
      </c>
      <c r="L37" s="72"/>
      <c r="M37" s="42"/>
      <c r="N37"/>
      <c r="O37"/>
      <c r="P37"/>
    </row>
    <row r="38" spans="2:16" s="65" customFormat="1" ht="37.5" x14ac:dyDescent="0.35">
      <c r="B38" s="51" t="s">
        <v>42</v>
      </c>
      <c r="C38" s="51" t="s">
        <v>4</v>
      </c>
      <c r="D38" s="51" t="s">
        <v>59</v>
      </c>
      <c r="E38" s="51" t="s">
        <v>5</v>
      </c>
      <c r="F38" s="51" t="s">
        <v>6</v>
      </c>
      <c r="G38" s="51" t="s">
        <v>7</v>
      </c>
      <c r="H38" s="51" t="s">
        <v>8</v>
      </c>
      <c r="I38" s="51" t="s">
        <v>9</v>
      </c>
      <c r="J38" s="44"/>
      <c r="K38" s="51" t="s">
        <v>2</v>
      </c>
      <c r="L38" s="51" t="s">
        <v>3</v>
      </c>
      <c r="M38" s="44"/>
      <c r="N38" s="66"/>
      <c r="O38" s="66"/>
      <c r="P38" s="66"/>
    </row>
    <row r="39" spans="2:16" ht="24.25" customHeight="1" x14ac:dyDescent="0.35">
      <c r="B39" s="34"/>
      <c r="C39" s="35"/>
      <c r="D39" s="35"/>
      <c r="E39" s="36"/>
      <c r="F39" s="36"/>
      <c r="G39" s="37"/>
      <c r="H39" s="37">
        <f>+G39*12%</f>
        <v>0</v>
      </c>
      <c r="I39" s="37">
        <f>+G39+H39</f>
        <v>0</v>
      </c>
      <c r="J39" s="38"/>
      <c r="K39" s="39"/>
      <c r="L39" s="61">
        <f>+D39-K39</f>
        <v>0</v>
      </c>
      <c r="M39" s="6"/>
      <c r="N39"/>
      <c r="O39"/>
      <c r="P39"/>
    </row>
    <row r="40" spans="2:16" ht="14.5" x14ac:dyDescent="0.35">
      <c r="B40" s="34"/>
      <c r="C40" s="35"/>
      <c r="D40" s="35"/>
      <c r="E40" s="36"/>
      <c r="F40" s="36"/>
      <c r="G40" s="37"/>
      <c r="H40" s="37">
        <f>+G40*12%</f>
        <v>0</v>
      </c>
      <c r="I40" s="37">
        <f>+G40+H40</f>
        <v>0</v>
      </c>
      <c r="J40" s="38"/>
      <c r="K40" s="39"/>
      <c r="L40" s="61">
        <f t="shared" ref="L40:L43" si="0">+D40-K40</f>
        <v>0</v>
      </c>
      <c r="M40" s="6"/>
      <c r="N40"/>
      <c r="O40"/>
      <c r="P40"/>
    </row>
    <row r="41" spans="2:16" ht="14.5" x14ac:dyDescent="0.35">
      <c r="B41" s="34"/>
      <c r="C41" s="35"/>
      <c r="D41" s="35"/>
      <c r="E41" s="36"/>
      <c r="F41" s="36"/>
      <c r="G41" s="37"/>
      <c r="H41" s="37">
        <f>+G41*12%</f>
        <v>0</v>
      </c>
      <c r="I41" s="37">
        <f>+G41+H41</f>
        <v>0</v>
      </c>
      <c r="J41" s="38"/>
      <c r="K41" s="39"/>
      <c r="L41" s="61">
        <f t="shared" si="0"/>
        <v>0</v>
      </c>
      <c r="M41" s="6"/>
      <c r="N41"/>
      <c r="O41"/>
      <c r="P41"/>
    </row>
    <row r="42" spans="2:16" ht="14.5" x14ac:dyDescent="0.35">
      <c r="B42" s="34"/>
      <c r="C42" s="35"/>
      <c r="D42" s="35"/>
      <c r="E42" s="36"/>
      <c r="F42" s="36"/>
      <c r="G42" s="37"/>
      <c r="H42" s="37">
        <v>0</v>
      </c>
      <c r="I42" s="37">
        <f>+G42+H42</f>
        <v>0</v>
      </c>
      <c r="J42" s="38"/>
      <c r="K42" s="39"/>
      <c r="L42" s="61">
        <f t="shared" si="0"/>
        <v>0</v>
      </c>
      <c r="M42" s="6"/>
      <c r="N42"/>
      <c r="O42"/>
      <c r="P42"/>
    </row>
    <row r="43" spans="2:16" ht="14.5" x14ac:dyDescent="0.35">
      <c r="B43" s="34"/>
      <c r="C43" s="35"/>
      <c r="D43" s="35"/>
      <c r="E43" s="36"/>
      <c r="F43" s="36"/>
      <c r="G43" s="37"/>
      <c r="H43" s="37">
        <v>0</v>
      </c>
      <c r="I43" s="37">
        <f>+G43+H43</f>
        <v>0</v>
      </c>
      <c r="J43" s="38"/>
      <c r="K43" s="39"/>
      <c r="L43" s="61">
        <f t="shared" si="0"/>
        <v>0</v>
      </c>
      <c r="M43" s="6"/>
      <c r="N43"/>
      <c r="O43"/>
      <c r="P43"/>
    </row>
    <row r="44" spans="2:16" ht="7" customHeight="1" x14ac:dyDescent="0.35">
      <c r="G44" s="7"/>
      <c r="H44" s="7"/>
      <c r="I44" s="7"/>
      <c r="N44"/>
      <c r="O44"/>
      <c r="P44"/>
    </row>
    <row r="45" spans="2:16" ht="15" thickBot="1" x14ac:dyDescent="0.4">
      <c r="B45" s="67"/>
      <c r="C45" s="67"/>
      <c r="D45" s="67"/>
      <c r="E45" s="67"/>
      <c r="F45" s="67"/>
      <c r="G45" s="8">
        <f>SUM(G39:G44)</f>
        <v>0</v>
      </c>
      <c r="H45" s="8">
        <f>SUM(H39:H44)</f>
        <v>0</v>
      </c>
      <c r="I45" s="8">
        <f>SUM(I39:I44)</f>
        <v>0</v>
      </c>
      <c r="J45" s="6"/>
      <c r="K45" s="6"/>
      <c r="L45" s="6"/>
      <c r="M45" s="6"/>
      <c r="N45"/>
      <c r="O45"/>
      <c r="P45"/>
    </row>
    <row r="46" spans="2:16" ht="15" thickTop="1" x14ac:dyDescent="0.35">
      <c r="B46" s="9"/>
      <c r="C46" s="9"/>
      <c r="D46" s="9"/>
      <c r="E46" s="9"/>
      <c r="F46" s="9"/>
      <c r="G46" s="10"/>
      <c r="H46" s="10"/>
      <c r="I46" s="10"/>
      <c r="J46" s="6"/>
      <c r="K46" s="6"/>
      <c r="L46" s="6"/>
      <c r="M46" s="6"/>
      <c r="N46"/>
      <c r="O46"/>
      <c r="P46"/>
    </row>
    <row r="47" spans="2:16" ht="14.5" x14ac:dyDescent="0.35">
      <c r="B47" s="15" t="s">
        <v>43</v>
      </c>
      <c r="N47"/>
      <c r="O47"/>
      <c r="P47"/>
    </row>
    <row r="48" spans="2:16" ht="14.5" x14ac:dyDescent="0.35">
      <c r="B48" s="11"/>
      <c r="N48"/>
      <c r="O48"/>
      <c r="P48"/>
    </row>
    <row r="49" spans="2:16" ht="14.5" x14ac:dyDescent="0.35">
      <c r="B49" s="5"/>
      <c r="C49" s="4"/>
      <c r="D49" s="4"/>
      <c r="F49" s="4"/>
      <c r="G49" s="4"/>
      <c r="H49" s="4"/>
      <c r="J49" s="4"/>
      <c r="K49" s="4"/>
      <c r="L49" s="4"/>
      <c r="M49" s="4"/>
      <c r="N49"/>
      <c r="O49"/>
      <c r="P49"/>
    </row>
    <row r="50" spans="2:16" s="41" customFormat="1" ht="14.5" customHeight="1" x14ac:dyDescent="0.35">
      <c r="B50" s="68" t="s">
        <v>58</v>
      </c>
      <c r="C50" s="69"/>
      <c r="D50" s="69"/>
      <c r="E50" s="69"/>
      <c r="F50" s="69"/>
      <c r="G50" s="69"/>
      <c r="H50" s="69"/>
      <c r="I50" s="70"/>
      <c r="J50" s="43"/>
      <c r="K50" s="71" t="s">
        <v>57</v>
      </c>
      <c r="L50" s="72"/>
      <c r="M50" s="42"/>
      <c r="N50"/>
      <c r="O50"/>
      <c r="P50"/>
    </row>
    <row r="51" spans="2:16" s="65" customFormat="1" ht="25" x14ac:dyDescent="0.35">
      <c r="B51" s="51" t="s">
        <v>42</v>
      </c>
      <c r="C51" s="51" t="s">
        <v>4</v>
      </c>
      <c r="D51" s="51" t="s">
        <v>67</v>
      </c>
      <c r="E51" s="51" t="s">
        <v>5</v>
      </c>
      <c r="F51" s="51" t="s">
        <v>6</v>
      </c>
      <c r="G51" s="51" t="s">
        <v>7</v>
      </c>
      <c r="H51" s="51" t="s">
        <v>8</v>
      </c>
      <c r="I51" s="51" t="s">
        <v>9</v>
      </c>
      <c r="J51" s="44"/>
      <c r="K51" s="51" t="s">
        <v>68</v>
      </c>
      <c r="L51" s="51" t="s">
        <v>3</v>
      </c>
      <c r="M51" s="44"/>
      <c r="N51" s="66"/>
      <c r="O51" s="66"/>
      <c r="P51" s="66"/>
    </row>
    <row r="52" spans="2:16" ht="14.5" x14ac:dyDescent="0.35">
      <c r="B52" s="34"/>
      <c r="C52" s="35"/>
      <c r="D52" s="35"/>
      <c r="E52" s="36"/>
      <c r="F52" s="36"/>
      <c r="G52" s="37"/>
      <c r="H52" s="37">
        <f>+G52*12%</f>
        <v>0</v>
      </c>
      <c r="I52" s="37">
        <f>+G52+H52</f>
        <v>0</v>
      </c>
      <c r="J52" s="38"/>
      <c r="K52" s="39"/>
      <c r="L52" s="61">
        <f>+D52-K52</f>
        <v>0</v>
      </c>
      <c r="M52" s="6"/>
      <c r="N52"/>
      <c r="O52"/>
      <c r="P52"/>
    </row>
    <row r="53" spans="2:16" ht="14.5" x14ac:dyDescent="0.35">
      <c r="B53" s="34"/>
      <c r="C53" s="35"/>
      <c r="D53" s="35"/>
      <c r="E53" s="36"/>
      <c r="F53" s="36"/>
      <c r="G53" s="37"/>
      <c r="H53" s="37">
        <f>+G53*12%</f>
        <v>0</v>
      </c>
      <c r="I53" s="37">
        <f>+G53+H53</f>
        <v>0</v>
      </c>
      <c r="J53" s="38"/>
      <c r="K53" s="39"/>
      <c r="L53" s="61">
        <f t="shared" ref="L53:L56" si="1">+D53-K53</f>
        <v>0</v>
      </c>
      <c r="M53" s="6"/>
      <c r="N53"/>
      <c r="O53"/>
      <c r="P53"/>
    </row>
    <row r="54" spans="2:16" ht="14.5" x14ac:dyDescent="0.35">
      <c r="B54" s="34"/>
      <c r="C54" s="35"/>
      <c r="D54" s="35"/>
      <c r="E54" s="36"/>
      <c r="F54" s="36"/>
      <c r="G54" s="37"/>
      <c r="H54" s="37">
        <f>+G54*12%</f>
        <v>0</v>
      </c>
      <c r="I54" s="37">
        <f>+G54+H54</f>
        <v>0</v>
      </c>
      <c r="J54" s="38"/>
      <c r="K54" s="39"/>
      <c r="L54" s="61">
        <f t="shared" si="1"/>
        <v>0</v>
      </c>
      <c r="M54" s="6"/>
      <c r="N54"/>
      <c r="O54"/>
      <c r="P54"/>
    </row>
    <row r="55" spans="2:16" ht="14.5" x14ac:dyDescent="0.35">
      <c r="B55" s="34"/>
      <c r="C55" s="35"/>
      <c r="D55" s="35"/>
      <c r="E55" s="36"/>
      <c r="F55" s="36"/>
      <c r="G55" s="37"/>
      <c r="H55" s="37">
        <v>0</v>
      </c>
      <c r="I55" s="37">
        <f>+G55+H55</f>
        <v>0</v>
      </c>
      <c r="J55" s="38"/>
      <c r="K55" s="39"/>
      <c r="L55" s="61">
        <f t="shared" si="1"/>
        <v>0</v>
      </c>
      <c r="M55" s="6"/>
      <c r="N55"/>
      <c r="O55"/>
      <c r="P55"/>
    </row>
    <row r="56" spans="2:16" ht="14.5" x14ac:dyDescent="0.35">
      <c r="B56" s="34"/>
      <c r="C56" s="35"/>
      <c r="D56" s="35"/>
      <c r="E56" s="36"/>
      <c r="F56" s="36"/>
      <c r="G56" s="37"/>
      <c r="H56" s="37">
        <v>0</v>
      </c>
      <c r="I56" s="37">
        <f>+G56+H56</f>
        <v>0</v>
      </c>
      <c r="J56" s="38"/>
      <c r="K56" s="39"/>
      <c r="L56" s="61">
        <f t="shared" si="1"/>
        <v>0</v>
      </c>
      <c r="M56" s="6"/>
      <c r="N56"/>
      <c r="O56"/>
      <c r="P56"/>
    </row>
    <row r="57" spans="2:16" ht="7" customHeight="1" x14ac:dyDescent="0.35">
      <c r="G57" s="7"/>
      <c r="H57" s="7"/>
      <c r="I57" s="7"/>
      <c r="N57"/>
      <c r="O57"/>
      <c r="P57"/>
    </row>
    <row r="58" spans="2:16" ht="13" thickBot="1" x14ac:dyDescent="0.3">
      <c r="B58" s="67"/>
      <c r="C58" s="67"/>
      <c r="D58" s="67"/>
      <c r="E58" s="67"/>
      <c r="F58" s="67"/>
      <c r="G58" s="8">
        <f>SUM(G52:G57)</f>
        <v>0</v>
      </c>
      <c r="H58" s="8">
        <f>SUM(H52:H57)</f>
        <v>0</v>
      </c>
      <c r="I58" s="8">
        <f>SUM(I52:I57)</f>
        <v>0</v>
      </c>
      <c r="J58" s="6"/>
      <c r="K58" s="6"/>
      <c r="L58" s="6"/>
      <c r="M58" s="6"/>
      <c r="N58" s="6"/>
      <c r="O58" s="6"/>
    </row>
    <row r="59" spans="2:16" ht="13" thickTop="1" x14ac:dyDescent="0.25"/>
    <row r="61" spans="2:16" x14ac:dyDescent="0.25">
      <c r="B61" s="40" t="s">
        <v>60</v>
      </c>
      <c r="C61" s="4"/>
      <c r="D61" s="4"/>
      <c r="F61" s="4"/>
      <c r="G61" s="4"/>
      <c r="H61" s="4"/>
      <c r="J61" s="4"/>
      <c r="K61" s="4"/>
      <c r="L61" s="4"/>
    </row>
    <row r="62" spans="2:16" x14ac:dyDescent="0.25">
      <c r="B62" s="5"/>
      <c r="C62" s="4"/>
      <c r="D62" s="4"/>
      <c r="F62" s="4"/>
      <c r="G62" s="4"/>
      <c r="H62" s="4"/>
      <c r="J62" s="4"/>
      <c r="K62" s="4"/>
      <c r="L62" s="4"/>
    </row>
    <row r="63" spans="2:16" x14ac:dyDescent="0.25">
      <c r="B63" s="5"/>
      <c r="C63" s="4"/>
      <c r="D63" s="4"/>
      <c r="F63" s="4"/>
      <c r="G63" s="4"/>
      <c r="H63" s="4"/>
      <c r="J63" s="4"/>
      <c r="K63" s="4"/>
      <c r="L63" s="4"/>
    </row>
    <row r="64" spans="2:16" x14ac:dyDescent="0.25">
      <c r="B64" s="68" t="s">
        <v>62</v>
      </c>
      <c r="C64" s="69"/>
      <c r="D64" s="69"/>
      <c r="E64" s="69"/>
      <c r="F64" s="69"/>
      <c r="G64" s="69"/>
      <c r="H64" s="69"/>
      <c r="I64" s="70"/>
      <c r="J64" s="43"/>
      <c r="K64" s="71" t="s">
        <v>57</v>
      </c>
      <c r="L64" s="72"/>
    </row>
    <row r="65" spans="2:12" s="32" customFormat="1" ht="25" x14ac:dyDescent="0.25">
      <c r="B65" s="51" t="s">
        <v>64</v>
      </c>
      <c r="C65" s="51" t="s">
        <v>65</v>
      </c>
      <c r="D65" s="51" t="s">
        <v>67</v>
      </c>
      <c r="E65" s="51" t="s">
        <v>66</v>
      </c>
      <c r="F65" s="51" t="s">
        <v>5</v>
      </c>
      <c r="G65" s="51" t="s">
        <v>7</v>
      </c>
      <c r="H65" s="51" t="s">
        <v>8</v>
      </c>
      <c r="I65" s="51" t="s">
        <v>9</v>
      </c>
      <c r="J65" s="44"/>
      <c r="K65" s="51" t="s">
        <v>68</v>
      </c>
      <c r="L65" s="51" t="s">
        <v>3</v>
      </c>
    </row>
    <row r="66" spans="2:12" x14ac:dyDescent="0.25">
      <c r="B66" s="34"/>
      <c r="C66" s="35"/>
      <c r="D66" s="35"/>
      <c r="E66" s="36"/>
      <c r="F66" s="36"/>
      <c r="G66" s="37"/>
      <c r="H66" s="37">
        <f>+G66*12%</f>
        <v>0</v>
      </c>
      <c r="I66" s="37">
        <f>+G66+H66</f>
        <v>0</v>
      </c>
      <c r="J66" s="38"/>
      <c r="K66" s="39"/>
      <c r="L66" s="61">
        <f t="shared" ref="L66:L70" si="2">+D66-K66</f>
        <v>0</v>
      </c>
    </row>
    <row r="67" spans="2:12" x14ac:dyDescent="0.25">
      <c r="B67" s="34"/>
      <c r="C67" s="35"/>
      <c r="D67" s="35"/>
      <c r="E67" s="36"/>
      <c r="F67" s="36"/>
      <c r="G67" s="37"/>
      <c r="H67" s="37">
        <f>+G67*12%</f>
        <v>0</v>
      </c>
      <c r="I67" s="37">
        <f>+G67+H67</f>
        <v>0</v>
      </c>
      <c r="J67" s="38"/>
      <c r="K67" s="39"/>
      <c r="L67" s="61">
        <f t="shared" si="2"/>
        <v>0</v>
      </c>
    </row>
    <row r="68" spans="2:12" x14ac:dyDescent="0.25">
      <c r="B68" s="34"/>
      <c r="C68" s="35"/>
      <c r="D68" s="35"/>
      <c r="E68" s="36"/>
      <c r="F68" s="36"/>
      <c r="G68" s="37"/>
      <c r="H68" s="37">
        <f>+G68*12%</f>
        <v>0</v>
      </c>
      <c r="I68" s="37">
        <f>+G68+H68</f>
        <v>0</v>
      </c>
      <c r="J68" s="38"/>
      <c r="K68" s="39"/>
      <c r="L68" s="61">
        <f t="shared" si="2"/>
        <v>0</v>
      </c>
    </row>
    <row r="69" spans="2:12" x14ac:dyDescent="0.25">
      <c r="B69" s="34"/>
      <c r="C69" s="35"/>
      <c r="D69" s="35"/>
      <c r="E69" s="36"/>
      <c r="F69" s="36"/>
      <c r="G69" s="37"/>
      <c r="H69" s="37">
        <v>0</v>
      </c>
      <c r="I69" s="37">
        <f>+G69+H69</f>
        <v>0</v>
      </c>
      <c r="J69" s="38"/>
      <c r="K69" s="39"/>
      <c r="L69" s="61">
        <f t="shared" si="2"/>
        <v>0</v>
      </c>
    </row>
    <row r="70" spans="2:12" x14ac:dyDescent="0.25">
      <c r="B70" s="34"/>
      <c r="C70" s="35"/>
      <c r="D70" s="35"/>
      <c r="E70" s="36"/>
      <c r="F70" s="36"/>
      <c r="G70" s="37"/>
      <c r="H70" s="37">
        <v>0</v>
      </c>
      <c r="I70" s="37">
        <f>+G70+H70</f>
        <v>0</v>
      </c>
      <c r="J70" s="38"/>
      <c r="K70" s="39"/>
      <c r="L70" s="61">
        <f t="shared" si="2"/>
        <v>0</v>
      </c>
    </row>
    <row r="71" spans="2:12" ht="7" customHeight="1" x14ac:dyDescent="0.25">
      <c r="G71" s="7"/>
      <c r="H71" s="7"/>
      <c r="I71" s="7"/>
    </row>
    <row r="72" spans="2:12" ht="13" thickBot="1" x14ac:dyDescent="0.3">
      <c r="B72" s="67"/>
      <c r="C72" s="67"/>
      <c r="D72" s="67"/>
      <c r="E72" s="67"/>
      <c r="F72" s="67"/>
      <c r="G72" s="8">
        <f>SUM(G66:G71)</f>
        <v>0</v>
      </c>
      <c r="H72" s="8">
        <f>SUM(H66:H71)</f>
        <v>0</v>
      </c>
      <c r="I72" s="8">
        <f>SUM(I66:I71)</f>
        <v>0</v>
      </c>
      <c r="J72" s="6"/>
      <c r="K72" s="6"/>
      <c r="L72" s="6"/>
    </row>
    <row r="73" spans="2:12" ht="13" thickTop="1" x14ac:dyDescent="0.25">
      <c r="B73" s="9"/>
      <c r="C73" s="9"/>
      <c r="D73" s="9"/>
      <c r="E73" s="9"/>
      <c r="F73" s="9"/>
      <c r="G73" s="10"/>
      <c r="H73" s="10"/>
      <c r="I73" s="10"/>
      <c r="J73" s="6"/>
      <c r="K73" s="6"/>
      <c r="L73" s="6"/>
    </row>
    <row r="74" spans="2:12" x14ac:dyDescent="0.25">
      <c r="B74" s="15" t="s">
        <v>61</v>
      </c>
    </row>
    <row r="75" spans="2:12" x14ac:dyDescent="0.25">
      <c r="B75" s="11"/>
    </row>
    <row r="76" spans="2:12" x14ac:dyDescent="0.25">
      <c r="B76" s="5"/>
      <c r="C76" s="4"/>
      <c r="D76" s="4"/>
      <c r="F76" s="4"/>
      <c r="G76" s="4"/>
      <c r="H76" s="4"/>
      <c r="J76" s="4"/>
      <c r="K76" s="4"/>
      <c r="L76" s="4"/>
    </row>
    <row r="77" spans="2:12" x14ac:dyDescent="0.25">
      <c r="B77" s="68" t="s">
        <v>63</v>
      </c>
      <c r="C77" s="69"/>
      <c r="D77" s="69"/>
      <c r="E77" s="69"/>
      <c r="F77" s="69"/>
      <c r="G77" s="69"/>
      <c r="H77" s="69"/>
      <c r="I77" s="70"/>
      <c r="J77" s="43"/>
      <c r="K77" s="71" t="s">
        <v>57</v>
      </c>
      <c r="L77" s="72"/>
    </row>
    <row r="78" spans="2:12" s="32" customFormat="1" ht="25" x14ac:dyDescent="0.25">
      <c r="B78" s="51" t="s">
        <v>64</v>
      </c>
      <c r="C78" s="51" t="s">
        <v>65</v>
      </c>
      <c r="D78" s="51" t="s">
        <v>67</v>
      </c>
      <c r="E78" s="51" t="s">
        <v>66</v>
      </c>
      <c r="F78" s="51" t="s">
        <v>5</v>
      </c>
      <c r="G78" s="51" t="s">
        <v>7</v>
      </c>
      <c r="H78" s="51" t="s">
        <v>8</v>
      </c>
      <c r="I78" s="51" t="s">
        <v>9</v>
      </c>
      <c r="J78" s="44"/>
      <c r="K78" s="51" t="s">
        <v>68</v>
      </c>
      <c r="L78" s="51" t="s">
        <v>3</v>
      </c>
    </row>
    <row r="79" spans="2:12" x14ac:dyDescent="0.25">
      <c r="B79" s="34"/>
      <c r="C79" s="35"/>
      <c r="D79" s="35"/>
      <c r="E79" s="36"/>
      <c r="F79" s="36"/>
      <c r="G79" s="37"/>
      <c r="H79" s="37">
        <f>+G79*12%</f>
        <v>0</v>
      </c>
      <c r="I79" s="37">
        <f>+G79+H79</f>
        <v>0</v>
      </c>
      <c r="J79" s="38"/>
      <c r="K79" s="39"/>
      <c r="L79" s="61">
        <f t="shared" ref="L79:L83" si="3">+D79-K79</f>
        <v>0</v>
      </c>
    </row>
    <row r="80" spans="2:12" x14ac:dyDescent="0.25">
      <c r="B80" s="34"/>
      <c r="C80" s="35"/>
      <c r="D80" s="35"/>
      <c r="E80" s="36"/>
      <c r="F80" s="36"/>
      <c r="G80" s="37"/>
      <c r="H80" s="37">
        <f>+G80*12%</f>
        <v>0</v>
      </c>
      <c r="I80" s="37">
        <f>+G80+H80</f>
        <v>0</v>
      </c>
      <c r="J80" s="38"/>
      <c r="K80" s="39"/>
      <c r="L80" s="61">
        <f t="shared" si="3"/>
        <v>0</v>
      </c>
    </row>
    <row r="81" spans="2:12" x14ac:dyDescent="0.25">
      <c r="B81" s="34"/>
      <c r="C81" s="35"/>
      <c r="D81" s="35"/>
      <c r="E81" s="36"/>
      <c r="F81" s="36"/>
      <c r="G81" s="37"/>
      <c r="H81" s="37">
        <f>+G81*12%</f>
        <v>0</v>
      </c>
      <c r="I81" s="37">
        <f>+G81+H81</f>
        <v>0</v>
      </c>
      <c r="J81" s="38"/>
      <c r="K81" s="39"/>
      <c r="L81" s="61">
        <f t="shared" si="3"/>
        <v>0</v>
      </c>
    </row>
    <row r="82" spans="2:12" x14ac:dyDescent="0.25">
      <c r="B82" s="34"/>
      <c r="C82" s="35"/>
      <c r="D82" s="35"/>
      <c r="E82" s="36"/>
      <c r="F82" s="36"/>
      <c r="G82" s="37"/>
      <c r="H82" s="37">
        <v>0</v>
      </c>
      <c r="I82" s="37">
        <f>+G82+H82</f>
        <v>0</v>
      </c>
      <c r="J82" s="38"/>
      <c r="K82" s="39"/>
      <c r="L82" s="61">
        <f t="shared" si="3"/>
        <v>0</v>
      </c>
    </row>
    <row r="83" spans="2:12" x14ac:dyDescent="0.25">
      <c r="B83" s="34"/>
      <c r="C83" s="35"/>
      <c r="D83" s="35"/>
      <c r="E83" s="36"/>
      <c r="F83" s="36"/>
      <c r="G83" s="37"/>
      <c r="H83" s="37">
        <v>0</v>
      </c>
      <c r="I83" s="37">
        <f>+G83+H83</f>
        <v>0</v>
      </c>
      <c r="J83" s="38"/>
      <c r="K83" s="39"/>
      <c r="L83" s="61">
        <f t="shared" si="3"/>
        <v>0</v>
      </c>
    </row>
    <row r="84" spans="2:12" ht="7" customHeight="1" x14ac:dyDescent="0.25">
      <c r="G84" s="7"/>
      <c r="H84" s="7"/>
      <c r="I84" s="7"/>
    </row>
    <row r="85" spans="2:12" ht="13" thickBot="1" x14ac:dyDescent="0.3">
      <c r="B85" s="67"/>
      <c r="C85" s="67"/>
      <c r="D85" s="67"/>
      <c r="E85" s="67"/>
      <c r="F85" s="67"/>
      <c r="G85" s="8">
        <f>SUM(G79:G84)</f>
        <v>0</v>
      </c>
      <c r="H85" s="8">
        <f>SUM(H79:H84)</f>
        <v>0</v>
      </c>
      <c r="I85" s="8">
        <f>SUM(I79:I84)</f>
        <v>0</v>
      </c>
      <c r="J85" s="6"/>
      <c r="K85" s="6"/>
      <c r="L85" s="6"/>
    </row>
    <row r="86" spans="2:12" ht="13" thickTop="1" x14ac:dyDescent="0.25"/>
    <row r="87" spans="2:12" x14ac:dyDescent="0.25">
      <c r="B87" s="40" t="s">
        <v>69</v>
      </c>
      <c r="C87" s="4"/>
      <c r="D87" s="4"/>
      <c r="F87" s="4"/>
      <c r="G87" s="4"/>
      <c r="H87" s="4"/>
      <c r="J87" s="4"/>
      <c r="K87" s="4"/>
      <c r="L87" s="4"/>
    </row>
    <row r="88" spans="2:12" x14ac:dyDescent="0.25">
      <c r="B88" s="5"/>
      <c r="C88" s="4"/>
      <c r="D88" s="4"/>
      <c r="F88" s="4"/>
      <c r="G88" s="4"/>
      <c r="H88" s="4"/>
      <c r="J88" s="4"/>
      <c r="K88" s="4"/>
      <c r="L88" s="4"/>
    </row>
    <row r="89" spans="2:12" x14ac:dyDescent="0.25">
      <c r="B89" s="5"/>
      <c r="C89" s="4"/>
      <c r="D89" s="4"/>
      <c r="F89" s="4"/>
      <c r="G89" s="4"/>
      <c r="H89" s="4"/>
      <c r="J89" s="4"/>
      <c r="K89" s="4"/>
      <c r="L89" s="4"/>
    </row>
    <row r="90" spans="2:12" x14ac:dyDescent="0.25">
      <c r="B90" s="68" t="s">
        <v>71</v>
      </c>
      <c r="C90" s="69"/>
      <c r="D90" s="69"/>
      <c r="E90" s="69"/>
      <c r="F90" s="69"/>
      <c r="G90" s="69"/>
      <c r="H90" s="69"/>
      <c r="I90" s="70"/>
      <c r="J90" s="43"/>
      <c r="K90" s="71" t="s">
        <v>57</v>
      </c>
      <c r="L90" s="72"/>
    </row>
    <row r="91" spans="2:12" s="32" customFormat="1" ht="25" x14ac:dyDescent="0.25">
      <c r="B91" s="51" t="s">
        <v>72</v>
      </c>
      <c r="C91" s="51" t="s">
        <v>73</v>
      </c>
      <c r="D91" s="51" t="s">
        <v>67</v>
      </c>
      <c r="E91" s="51" t="s">
        <v>66</v>
      </c>
      <c r="F91" s="51" t="s">
        <v>5</v>
      </c>
      <c r="G91" s="51" t="s">
        <v>76</v>
      </c>
      <c r="H91" s="51" t="s">
        <v>74</v>
      </c>
      <c r="I91" s="51" t="s">
        <v>75</v>
      </c>
      <c r="J91" s="44"/>
      <c r="K91" s="51" t="s">
        <v>79</v>
      </c>
      <c r="L91" s="51" t="s">
        <v>3</v>
      </c>
    </row>
    <row r="92" spans="2:12" x14ac:dyDescent="0.25">
      <c r="B92" s="34"/>
      <c r="C92" s="35"/>
      <c r="D92" s="35"/>
      <c r="E92" s="36"/>
      <c r="F92" s="36"/>
      <c r="G92" s="37"/>
      <c r="H92" s="37">
        <f>+G92*12%</f>
        <v>0</v>
      </c>
      <c r="I92" s="37">
        <f>+G92+H92</f>
        <v>0</v>
      </c>
      <c r="J92" s="38"/>
      <c r="K92" s="39"/>
      <c r="L92" s="61">
        <f>+E92-K92</f>
        <v>0</v>
      </c>
    </row>
    <row r="93" spans="2:12" x14ac:dyDescent="0.25">
      <c r="B93" s="34"/>
      <c r="C93" s="35"/>
      <c r="D93" s="35"/>
      <c r="E93" s="36"/>
      <c r="F93" s="36"/>
      <c r="G93" s="37"/>
      <c r="H93" s="37">
        <f>+G93*12%</f>
        <v>0</v>
      </c>
      <c r="I93" s="37">
        <f>+G93+H93</f>
        <v>0</v>
      </c>
      <c r="J93" s="38"/>
      <c r="K93" s="39"/>
      <c r="L93" s="61">
        <f t="shared" ref="L93:L96" si="4">+E93-K93</f>
        <v>0</v>
      </c>
    </row>
    <row r="94" spans="2:12" x14ac:dyDescent="0.25">
      <c r="B94" s="34"/>
      <c r="C94" s="35"/>
      <c r="D94" s="35"/>
      <c r="E94" s="36"/>
      <c r="F94" s="36"/>
      <c r="G94" s="37"/>
      <c r="H94" s="37">
        <f>+G94*12%</f>
        <v>0</v>
      </c>
      <c r="I94" s="37">
        <f>+G94+H94</f>
        <v>0</v>
      </c>
      <c r="J94" s="38"/>
      <c r="K94" s="39"/>
      <c r="L94" s="61">
        <f t="shared" si="4"/>
        <v>0</v>
      </c>
    </row>
    <row r="95" spans="2:12" x14ac:dyDescent="0.25">
      <c r="B95" s="34"/>
      <c r="C95" s="35"/>
      <c r="D95" s="35"/>
      <c r="E95" s="36"/>
      <c r="F95" s="36"/>
      <c r="G95" s="37"/>
      <c r="H95" s="37">
        <v>0</v>
      </c>
      <c r="I95" s="37">
        <f>+G95+H95</f>
        <v>0</v>
      </c>
      <c r="J95" s="38"/>
      <c r="K95" s="39"/>
      <c r="L95" s="61">
        <f t="shared" si="4"/>
        <v>0</v>
      </c>
    </row>
    <row r="96" spans="2:12" x14ac:dyDescent="0.25">
      <c r="B96" s="34"/>
      <c r="C96" s="35"/>
      <c r="D96" s="35"/>
      <c r="E96" s="36"/>
      <c r="F96" s="36"/>
      <c r="G96" s="37"/>
      <c r="H96" s="37">
        <v>0</v>
      </c>
      <c r="I96" s="37">
        <f>+G96+H96</f>
        <v>0</v>
      </c>
      <c r="J96" s="38"/>
      <c r="K96" s="39"/>
      <c r="L96" s="61">
        <f t="shared" si="4"/>
        <v>0</v>
      </c>
    </row>
    <row r="97" spans="2:12" x14ac:dyDescent="0.25">
      <c r="G97" s="7"/>
      <c r="H97" s="7"/>
      <c r="I97" s="7"/>
    </row>
    <row r="98" spans="2:12" x14ac:dyDescent="0.25">
      <c r="B98" s="9"/>
      <c r="C98" s="9"/>
      <c r="D98" s="9"/>
      <c r="E98" s="9"/>
      <c r="F98" s="9"/>
      <c r="G98" s="10"/>
      <c r="H98" s="10"/>
      <c r="I98" s="10"/>
      <c r="J98" s="6"/>
      <c r="K98" s="6"/>
      <c r="L98" s="6"/>
    </row>
    <row r="99" spans="2:12" x14ac:dyDescent="0.25">
      <c r="B99" s="15" t="s">
        <v>70</v>
      </c>
    </row>
    <row r="100" spans="2:12" x14ac:dyDescent="0.25">
      <c r="B100" s="11"/>
    </row>
    <row r="101" spans="2:12" x14ac:dyDescent="0.25">
      <c r="B101" s="5"/>
      <c r="C101" s="4"/>
      <c r="D101" s="4"/>
      <c r="F101" s="4"/>
      <c r="G101" s="4"/>
      <c r="H101" s="4"/>
      <c r="J101" s="4"/>
      <c r="K101" s="4"/>
      <c r="L101" s="4"/>
    </row>
    <row r="102" spans="2:12" x14ac:dyDescent="0.25">
      <c r="B102" s="68" t="s">
        <v>71</v>
      </c>
      <c r="C102" s="69"/>
      <c r="D102" s="69"/>
      <c r="E102" s="69"/>
      <c r="F102" s="69"/>
      <c r="G102" s="69"/>
      <c r="H102" s="69"/>
      <c r="I102" s="70"/>
      <c r="J102" s="43"/>
      <c r="K102" s="71" t="s">
        <v>57</v>
      </c>
      <c r="L102" s="72"/>
    </row>
    <row r="103" spans="2:12" s="32" customFormat="1" ht="25" x14ac:dyDescent="0.25">
      <c r="B103" s="51" t="s">
        <v>72</v>
      </c>
      <c r="C103" s="51" t="s">
        <v>73</v>
      </c>
      <c r="D103" s="51" t="s">
        <v>67</v>
      </c>
      <c r="E103" s="51" t="s">
        <v>66</v>
      </c>
      <c r="F103" s="51" t="s">
        <v>5</v>
      </c>
      <c r="G103" s="51" t="s">
        <v>76</v>
      </c>
      <c r="H103" s="51" t="s">
        <v>74</v>
      </c>
      <c r="I103" s="51" t="s">
        <v>75</v>
      </c>
      <c r="J103" s="44"/>
      <c r="K103" s="51" t="s">
        <v>79</v>
      </c>
      <c r="L103" s="51" t="s">
        <v>3</v>
      </c>
    </row>
    <row r="104" spans="2:12" x14ac:dyDescent="0.25">
      <c r="B104" s="34"/>
      <c r="C104" s="35"/>
      <c r="D104" s="35"/>
      <c r="E104" s="36"/>
      <c r="F104" s="36"/>
      <c r="G104" s="37"/>
      <c r="H104" s="37">
        <f>+G104*12%</f>
        <v>0</v>
      </c>
      <c r="I104" s="37">
        <f>+G104+H104</f>
        <v>0</v>
      </c>
      <c r="J104" s="38"/>
      <c r="K104" s="39"/>
      <c r="L104" s="61">
        <f t="shared" ref="L104:L108" si="5">+E104-K104</f>
        <v>0</v>
      </c>
    </row>
    <row r="105" spans="2:12" x14ac:dyDescent="0.25">
      <c r="B105" s="34"/>
      <c r="C105" s="35"/>
      <c r="D105" s="35"/>
      <c r="E105" s="36"/>
      <c r="F105" s="36"/>
      <c r="G105" s="37"/>
      <c r="H105" s="37">
        <f>+G105*12%</f>
        <v>0</v>
      </c>
      <c r="I105" s="37">
        <f>+G105+H105</f>
        <v>0</v>
      </c>
      <c r="J105" s="38"/>
      <c r="K105" s="39"/>
      <c r="L105" s="61">
        <f t="shared" si="5"/>
        <v>0</v>
      </c>
    </row>
    <row r="106" spans="2:12" x14ac:dyDescent="0.25">
      <c r="B106" s="34"/>
      <c r="C106" s="35"/>
      <c r="D106" s="35"/>
      <c r="E106" s="36"/>
      <c r="F106" s="36"/>
      <c r="G106" s="37"/>
      <c r="H106" s="37">
        <f>+G106*12%</f>
        <v>0</v>
      </c>
      <c r="I106" s="37">
        <f>+G106+H106</f>
        <v>0</v>
      </c>
      <c r="J106" s="38"/>
      <c r="K106" s="39"/>
      <c r="L106" s="61">
        <f t="shared" si="5"/>
        <v>0</v>
      </c>
    </row>
    <row r="107" spans="2:12" x14ac:dyDescent="0.25">
      <c r="B107" s="34"/>
      <c r="C107" s="35"/>
      <c r="D107" s="35"/>
      <c r="E107" s="36"/>
      <c r="F107" s="36"/>
      <c r="G107" s="37"/>
      <c r="H107" s="37">
        <v>0</v>
      </c>
      <c r="I107" s="37">
        <f>+G107+H107</f>
        <v>0</v>
      </c>
      <c r="J107" s="38"/>
      <c r="K107" s="39"/>
      <c r="L107" s="61">
        <f t="shared" si="5"/>
        <v>0</v>
      </c>
    </row>
    <row r="108" spans="2:12" x14ac:dyDescent="0.25">
      <c r="B108" s="34"/>
      <c r="C108" s="35"/>
      <c r="D108" s="35"/>
      <c r="E108" s="36"/>
      <c r="F108" s="36"/>
      <c r="G108" s="37"/>
      <c r="H108" s="37">
        <v>0</v>
      </c>
      <c r="I108" s="37">
        <f>+G108+H108</f>
        <v>0</v>
      </c>
      <c r="J108" s="38"/>
      <c r="K108" s="39"/>
      <c r="L108" s="61">
        <f t="shared" si="5"/>
        <v>0</v>
      </c>
    </row>
    <row r="109" spans="2:12" x14ac:dyDescent="0.25">
      <c r="G109" s="7"/>
      <c r="H109" s="7"/>
      <c r="I109" s="7"/>
    </row>
    <row r="111" spans="2:12" x14ac:dyDescent="0.25">
      <c r="B111" s="19" t="s">
        <v>45</v>
      </c>
    </row>
    <row r="112" spans="2:12" ht="7" customHeight="1" x14ac:dyDescent="0.25">
      <c r="B112" s="19"/>
    </row>
    <row r="113" spans="1:2" x14ac:dyDescent="0.25">
      <c r="A113" s="13"/>
      <c r="B113" s="52" t="s">
        <v>77</v>
      </c>
    </row>
    <row r="114" spans="1:2" x14ac:dyDescent="0.25">
      <c r="A114" s="13"/>
      <c r="B114" s="53" t="s">
        <v>12</v>
      </c>
    </row>
    <row r="115" spans="1:2" ht="13.5" x14ac:dyDescent="0.25">
      <c r="A115" s="21"/>
      <c r="B115" s="52" t="s">
        <v>78</v>
      </c>
    </row>
    <row r="116" spans="1:2" ht="16" customHeight="1" x14ac:dyDescent="0.25">
      <c r="A116" s="22"/>
      <c r="B116" s="13"/>
    </row>
    <row r="117" spans="1:2" x14ac:dyDescent="0.25">
      <c r="B117" s="19" t="s">
        <v>52</v>
      </c>
    </row>
    <row r="118" spans="1:2" ht="7" customHeight="1" x14ac:dyDescent="0.25">
      <c r="B118" s="19"/>
    </row>
    <row r="119" spans="1:2" x14ac:dyDescent="0.25">
      <c r="A119" s="12" t="s">
        <v>10</v>
      </c>
    </row>
    <row r="120" spans="1:2" x14ac:dyDescent="0.25">
      <c r="A120" s="12" t="s">
        <v>11</v>
      </c>
    </row>
    <row r="121" spans="1:2" x14ac:dyDescent="0.25">
      <c r="A121" s="12" t="s">
        <v>56</v>
      </c>
    </row>
    <row r="122" spans="1:2" x14ac:dyDescent="0.25">
      <c r="A122" s="12"/>
    </row>
    <row r="123" spans="1:2" x14ac:dyDescent="0.25">
      <c r="A123" s="45"/>
      <c r="B123" s="19" t="s">
        <v>17</v>
      </c>
    </row>
    <row r="124" spans="1:2" ht="7" customHeight="1" x14ac:dyDescent="0.25">
      <c r="A124" s="45"/>
      <c r="B124" s="19"/>
    </row>
    <row r="125" spans="1:2" x14ac:dyDescent="0.25">
      <c r="A125" s="46" t="s">
        <v>23</v>
      </c>
      <c r="B125" s="19"/>
    </row>
    <row r="126" spans="1:2" x14ac:dyDescent="0.25">
      <c r="A126" s="46" t="s">
        <v>24</v>
      </c>
      <c r="B126" s="19"/>
    </row>
    <row r="127" spans="1:2" x14ac:dyDescent="0.25">
      <c r="A127" s="46" t="s">
        <v>25</v>
      </c>
      <c r="B127" s="23"/>
    </row>
    <row r="128" spans="1:2" x14ac:dyDescent="0.25">
      <c r="A128" s="45"/>
      <c r="B128" s="47"/>
    </row>
    <row r="129" spans="1:2" x14ac:dyDescent="0.25">
      <c r="A129" s="45"/>
      <c r="B129" s="19" t="s">
        <v>46</v>
      </c>
    </row>
    <row r="130" spans="1:2" ht="7" customHeight="1" x14ac:dyDescent="0.25">
      <c r="A130" s="45"/>
      <c r="B130" s="19"/>
    </row>
    <row r="131" spans="1:2" x14ac:dyDescent="0.25">
      <c r="A131" s="46" t="s">
        <v>47</v>
      </c>
      <c r="B131" s="19"/>
    </row>
    <row r="132" spans="1:2" x14ac:dyDescent="0.25">
      <c r="A132" s="46" t="s">
        <v>48</v>
      </c>
      <c r="B132" s="23"/>
    </row>
    <row r="133" spans="1:2" x14ac:dyDescent="0.25">
      <c r="A133" s="46" t="s">
        <v>49</v>
      </c>
      <c r="B133" s="48"/>
    </row>
    <row r="134" spans="1:2" x14ac:dyDescent="0.25">
      <c r="A134" s="46"/>
      <c r="B134" s="48"/>
    </row>
    <row r="135" spans="1:2" x14ac:dyDescent="0.25">
      <c r="A135" s="49"/>
      <c r="B135" s="19" t="s">
        <v>50</v>
      </c>
    </row>
    <row r="136" spans="1:2" ht="7" customHeight="1" x14ac:dyDescent="0.25">
      <c r="A136" s="49"/>
      <c r="B136" s="19"/>
    </row>
    <row r="137" spans="1:2" x14ac:dyDescent="0.25">
      <c r="A137" s="49"/>
      <c r="B137" s="50" t="s">
        <v>51</v>
      </c>
    </row>
  </sheetData>
  <mergeCells count="16">
    <mergeCell ref="B85:F85"/>
    <mergeCell ref="B90:I90"/>
    <mergeCell ref="K90:L90"/>
    <mergeCell ref="B102:I102"/>
    <mergeCell ref="K102:L102"/>
    <mergeCell ref="B64:I64"/>
    <mergeCell ref="K64:L64"/>
    <mergeCell ref="B72:F72"/>
    <mergeCell ref="B77:I77"/>
    <mergeCell ref="K77:L77"/>
    <mergeCell ref="B58:F58"/>
    <mergeCell ref="B45:F45"/>
    <mergeCell ref="B37:I37"/>
    <mergeCell ref="B50:I50"/>
    <mergeCell ref="K37:L37"/>
    <mergeCell ref="K50:L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1500.07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2023-03-31T14:44:57Z</dcterms:created>
  <dcterms:modified xsi:type="dcterms:W3CDTF">2026-04-17T03:48:45Z</dcterms:modified>
</cp:coreProperties>
</file>